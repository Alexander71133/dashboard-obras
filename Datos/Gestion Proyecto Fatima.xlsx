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8599A9C1-59E8-4887-B75A-04A85309248A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D2" i="9" l="1"/>
  <c r="C2" i="9"/>
  <c r="F2" i="9" s="1"/>
  <c r="B2" i="9"/>
  <c r="L5" i="3"/>
  <c r="L6" i="3"/>
  <c r="I5" i="3"/>
  <c r="I6" i="3"/>
  <c r="J2" i="9" l="1"/>
  <c r="G2" i="9"/>
  <c r="H2" i="9"/>
  <c r="I2" i="9"/>
  <c r="K2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s="1"/>
  <c r="C5" i="1" l="1"/>
  <c r="G5" i="1" s="1"/>
  <c r="C13" i="1"/>
  <c r="C18" i="1" s="1"/>
  <c r="E18" i="1" s="1"/>
  <c r="E17" i="1"/>
  <c r="D17" i="1"/>
  <c r="D18" i="1" l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</calcChain>
</file>

<file path=xl/sharedStrings.xml><?xml version="1.0" encoding="utf-8"?>
<sst xmlns="http://schemas.openxmlformats.org/spreadsheetml/2006/main" count="755" uniqueCount="339">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</sst>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2"/>
  <sheetViews>
    <sheetView tabSelected="1" zoomScale="90" zoomScaleNormal="90" workbookViewId="0">
      <selection activeCell="D13" sqref="D13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f>Presupuesto!E11</f>
        <v>43821.59</v>
      </c>
      <c r="C2" s="69">
        <f>Dashboard!C14</f>
        <v>21784.026381865144</v>
      </c>
      <c r="D2" s="68">
        <f>Dashboard!B23</f>
        <v>33203.99</v>
      </c>
      <c r="E2" s="68">
        <v>21784.03</v>
      </c>
      <c r="F2" s="68">
        <f>C2-D2</f>
        <v>-11419.963618134854</v>
      </c>
      <c r="G2" s="68">
        <f>C2-E2</f>
        <v>-3.6181348550599068E-3</v>
      </c>
      <c r="H2" s="68">
        <f>D2-E2</f>
        <v>11419.96</v>
      </c>
      <c r="I2" s="72">
        <f t="shared" ref="I2:J2" si="0">C2/$B$2</f>
        <v>0.49710716525496096</v>
      </c>
      <c r="J2" s="72">
        <f t="shared" si="0"/>
        <v>0.75770847201117075</v>
      </c>
      <c r="K2" s="68">
        <f>B2-C2</f>
        <v>22037.563618134853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3" sqref="B23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6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6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2026-08-17T17:15:34Z</dcterms:modified>
</cp:coreProperties>
</file>