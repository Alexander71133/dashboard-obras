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695C3853-8F2A-40EE-8265-CC2F8EA50D58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<sst xmlns="http://schemas.openxmlformats.org/spreadsheetml/2006/main" count="762" uniqueCount="346">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</sst>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B2" sqref="B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27512.659999999996</v>
      </c>
      <c r="D2" s="68">
        <f>[1]!Panel_Control[[#This Row],[Total Ingresos]]</f>
        <v>38605.82</v>
      </c>
      <c r="E2" s="68">
        <f t="shared" ref="E2:E8" si="0">D2-C2</f>
        <v>11093.160000000003</v>
      </c>
      <c r="F2" s="68">
        <f t="shared" ref="F2:G4" si="1">B2-D2</f>
        <v>0</v>
      </c>
      <c r="G2" s="68">
        <f t="shared" si="1"/>
        <v>16419.499999999993</v>
      </c>
      <c r="H2" s="68">
        <f t="shared" ref="H2:H8" si="2">E2</f>
        <v>11093.160000000003</v>
      </c>
      <c r="I2" s="72">
        <f t="shared" ref="I2:I8" si="3">C2/B2</f>
        <v>0.71265576019367016</v>
      </c>
      <c r="J2" s="72">
        <f t="shared" ref="J2:J8" si="4">D2/B2</f>
        <v>1</v>
      </c>
      <c r="K2" s="68">
        <f t="shared" ref="K2:K8" si="5">B2-C2</f>
        <v>11093.160000000003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31342.659999999996</v>
      </c>
      <c r="D9" s="73">
        <f>SUM(D2:D8)</f>
        <v>58094.57</v>
      </c>
      <c r="E9" s="68">
        <f t="shared" ref="E9" si="8">D9-C9</f>
        <v>26751.910000000003</v>
      </c>
      <c r="F9" s="68">
        <f t="shared" ref="F9" si="9">B9-D9</f>
        <v>7948.7900000000009</v>
      </c>
      <c r="G9" s="68">
        <f t="shared" ref="G9" si="10">C9-E9</f>
        <v>4590.7499999999927</v>
      </c>
      <c r="H9" s="68">
        <f t="shared" ref="H9" si="11">E9</f>
        <v>26751.910000000003</v>
      </c>
      <c r="I9" s="72">
        <f t="shared" ref="I9" si="12">C9/B9</f>
        <v>0.47457700516751411</v>
      </c>
      <c r="J9" s="72">
        <f t="shared" ref="J9" si="13">D9/B9</f>
        <v>0.87964285887332205</v>
      </c>
      <c r="K9" s="68">
        <f t="shared" ref="K9" si="14">B9-C9</f>
        <v>34700.700000000004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2026-09-14T20:07:07Z</dcterms:modified>
</cp:coreProperties>
</file>