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2B2B5CB9-9A14-4570-A41D-7877731D369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<sst xmlns="http://schemas.openxmlformats.org/spreadsheetml/2006/main" count="771" uniqueCount="349">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</sst>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A8" sqref="A8:XFD8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28116.849999999995</v>
      </c>
      <c r="D2" s="73">
        <f>[1]!Panel_Control[[#This Row],[Total Ingresos]]</f>
        <v>38605.82</v>
      </c>
      <c r="E2" s="73">
        <f t="shared" ref="E2:E8" si="0">D2-C2</f>
        <v>10488.970000000005</v>
      </c>
      <c r="F2" s="73">
        <f t="shared" ref="F2:G4" si="1">B2-D2</f>
        <v>0</v>
      </c>
      <c r="G2" s="73">
        <f t="shared" si="1"/>
        <v>17627.87999999999</v>
      </c>
      <c r="H2" s="72">
        <f t="shared" ref="H2:H8" si="2">E2</f>
        <v>10488.970000000005</v>
      </c>
      <c r="I2" s="70">
        <f t="shared" ref="I2:I8" si="3">C2/B2</f>
        <v>0.72830599116920702</v>
      </c>
      <c r="J2" s="70">
        <f t="shared" ref="J2:J8" si="4">D2/B2</f>
        <v>1</v>
      </c>
      <c r="K2" s="73">
        <f t="shared" ref="K2:K8" si="5">B2-C2</f>
        <v>10488.970000000005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3207.19</v>
      </c>
      <c r="D8" s="73">
        <f>[1]!Panel_Control[[#This Row],[Total Ingresos]]</f>
        <v>5094</v>
      </c>
      <c r="E8" s="73">
        <f t="shared" si="0"/>
        <v>1886.81</v>
      </c>
      <c r="F8" s="73">
        <f t="shared" si="6"/>
        <v>3390.7900000000009</v>
      </c>
      <c r="G8" s="73">
        <f t="shared" si="7"/>
        <v>1320.38</v>
      </c>
      <c r="H8" s="72">
        <f t="shared" si="2"/>
        <v>1886.81</v>
      </c>
      <c r="I8" s="70">
        <f t="shared" si="3"/>
        <v>0.37799285545075362</v>
      </c>
      <c r="J8" s="70">
        <f t="shared" si="4"/>
        <v>0.60036842396806511</v>
      </c>
      <c r="K8" s="73">
        <f t="shared" si="5"/>
        <v>5277.6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35554.039999999994</v>
      </c>
      <c r="D9" s="73">
        <f>SUM(D2:D8)</f>
        <v>58094.57</v>
      </c>
      <c r="E9" s="73">
        <f t="shared" ref="E9" si="8">D9-C9</f>
        <v>22540.530000000006</v>
      </c>
      <c r="F9" s="73">
        <f t="shared" ref="F9" si="9">B9-D9</f>
        <v>7948.7900000000009</v>
      </c>
      <c r="G9" s="73">
        <f t="shared" ref="G9" si="10">C9-E9</f>
        <v>13013.509999999987</v>
      </c>
      <c r="H9" s="72">
        <f t="shared" ref="H9" si="11">E9</f>
        <v>22540.530000000006</v>
      </c>
      <c r="I9" s="70">
        <f t="shared" ref="I9" si="12">C9/B9</f>
        <v>0.53834390012864264</v>
      </c>
      <c r="J9" s="70">
        <f t="shared" ref="J9" si="13">D9/B9</f>
        <v>0.87964285887332205</v>
      </c>
      <c r="K9" s="73">
        <f t="shared" ref="K9" si="14">B9-C9</f>
        <v>30489.320000000007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2026-09-23T14:15:54Z</dcterms:modified>
</cp:coreProperties>
</file>