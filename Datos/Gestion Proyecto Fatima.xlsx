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52D894AA-57A1-4FCF-AFD1-0BFC6F9D80B5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r:id="rId2"/>
    <sheet name="Presupuesto" sheetId="2" r:id="rId3"/>
    <sheet name="Compras_Materiales" sheetId="3" r:id="rId4"/>
    <sheet name="Pago_Obreros" sheetId="4" r:id="rId5"/>
    <sheet name="Pago nomina" sheetId="8" r:id="rId6"/>
    <sheet name="Hoja1" sheetId="7" r:id="rId7"/>
    <sheet name="Nomina" sheetId="5" r:id="rId8"/>
    <sheet name="Calculos" sheetId="6" r:id="rId9"/>
  </sheets>
  <calcPr calcId="181029"/>
</workbook>
</file>

<file path=xl/calcChain.xml><?xml version="1.0" encoding="utf-8"?>
<calcChain xmlns="http://schemas.openxmlformats.org/spreadsheetml/2006/main">
  <c r="E9" i="9" l="1"/>
  <c r="G9" i="9" s="1"/>
  <c r="F9" i="9"/>
  <c r="I9" i="9"/>
  <c r="J9" i="9"/>
  <c r="K9" i="9"/>
  <c r="D9" i="9"/>
  <c r="C9" i="9"/>
  <c r="B9" i="9"/>
  <c r="E8" i="9"/>
  <c r="G8" i="9"/>
  <c r="H8" i="9"/>
  <c r="F8" i="9"/>
  <c r="J8" i="9"/>
  <c r="E7" i="9"/>
  <c r="G7" i="9"/>
  <c r="H7" i="9"/>
  <c r="F7" i="9"/>
  <c r="J7" i="9"/>
  <c r="E6" i="9"/>
  <c r="G6" i="9"/>
  <c r="H6" i="9"/>
  <c r="F6" i="9"/>
  <c r="J6" i="9"/>
  <c r="I8" i="9"/>
  <c r="K8" i="9"/>
  <c r="I7" i="9"/>
  <c r="K7" i="9"/>
  <c r="I6" i="9"/>
  <c r="K6" i="9"/>
  <c r="E5" i="9"/>
  <c r="G5" i="9" s="1"/>
  <c r="F5" i="9"/>
  <c r="H5" i="9"/>
  <c r="I5" i="9"/>
  <c r="J5" i="9"/>
  <c r="K5" i="9"/>
  <c r="E4" i="9"/>
  <c r="H4" i="9" s="1"/>
  <c r="F4" i="9"/>
  <c r="G4" i="9"/>
  <c r="I4" i="9"/>
  <c r="J4" i="9"/>
  <c r="K4" i="9"/>
  <c r="K3" i="9"/>
  <c r="J3" i="9"/>
  <c r="I3" i="9"/>
  <c r="F3" i="9"/>
  <c r="E3" i="9"/>
  <c r="H3" i="9" s="1"/>
  <c r="E2" i="9"/>
  <c r="H2" i="9" s="1"/>
  <c r="L5" i="3"/>
  <c r="L6" i="3"/>
  <c r="I5" i="3"/>
  <c r="I6" i="3"/>
  <c r="H9" i="9" l="1"/>
  <c r="G3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F2" i="9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G2" i="9" l="1"/>
</calcChain>
</file>

<file path=xl/sharedStrings.xml><?xml version="1.0" encoding="utf-8"?>
<sst xmlns="http://schemas.openxmlformats.org/spreadsheetml/2006/main" count="762" uniqueCount="346">
  <si>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</si>
  <si>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</si>
  <si>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</si>
  <si>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</si>
  <si>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</si>
  <si>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</si>
  <si>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</si>
  <si>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</si>
  <si>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</si>
  <si>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</si>
  <si>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</si>
  <si>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</si>
  <si>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</si>
  <si>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</si>
  <si>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</si>
  <si>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</si>
  <si>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</si>
  <si>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</si>
  <si>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</si>
  <si>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</si>
  <si>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</si>
  <si>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</si>
  <si>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</si>
  <si>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</si>
  <si>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</si>
  <si>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</si>
  <si>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</si>
  <si>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</si>
  <si>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</si>
  <si>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</si>
  <si>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</si>
  <si>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</si>
  <si>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</si>
  <si>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</si>
  <si>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</si>
  <si>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</si>
  <si>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</si>
  <si>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</si>
  <si>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</si>
  <si>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</si>
  <si>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</si>
  <si>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</si>
  <si>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</si>
  <si>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</si>
  <si>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</si>
  <si>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</si>
  <si>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</si>
  <si>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</si>
  <si>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</si>
  <si>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</si>
  <si>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</si>
  <si>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</si>
  <si>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</si>
  <si>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</si>
  <si>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</si>
  <si>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</si>
  <si>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</si>
  <si>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</si>
  <si>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</si>
  <si>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</si>
  <si>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</si>
  <si>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</si>
  <si>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</si>
  <si>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</si>
  <si>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</si>
  <si>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</si>
  <si>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</si>
  <si>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</si>
  <si>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</si>
  <si>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</si>
  <si>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</si>
  <si>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</si>
  <si>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</si>
  <si>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</si>
  <si>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</si>
  <si>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</si>
  <si>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</si>
  <si>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</si>
  <si>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</si>
  <si>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</si>
  <si>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</si>
  <si>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</si>
  <si>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</si>
  <si>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</si>
  <si>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</si>
  <si>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</si>
  <si>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</si>
  <si>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</si>
  <si>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</si>
  <si>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</si>
  <si>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</si>
  <si>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</si>
  <si>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</si>
  <si>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</si>
  <si>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</si>
  <si>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</si>
  <si>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</si>
  <si>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</si>
  <si>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</si>
  <si>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</si>
  <si>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</si>
  <si>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</si>
  <si>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</si>
  <si>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</si>
  <si>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</si>
  <si>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</si>
  <si>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</si>
  <si>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</si>
  <si>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</si>
  <si>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</si>
  <si>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</si>
  <si>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</si>
  <si>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</si>
  <si>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</si>
  <si>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</si>
  <si>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</si>
  <si>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</si>
  <si>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</si>
  <si>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</si>
  <si>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</si>
  <si>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</si>
  <si>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</si>
  <si>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</si>
  <si>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</si>
  <si>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</si>
  <si>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</si>
  <si>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</si>
  <si>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</si>
  <si>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</si>
  <si>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</si>
  <si>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</si>
  <si>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</si>
  <si>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</si>
  <si>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</si>
  <si>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</si>
  <si>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</si>
  <si>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</si>
  <si>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</si>
  <si>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</si>
  <si>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</si>
  <si>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</si>
  <si>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</si>
  <si>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</si>
  <si>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</si>
  <si>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</si>
  <si>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</si>
  <si>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</si>
  <si>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</si>
  <si>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</si>
  <si>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</si>
  <si>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</si>
  <si>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</si>
  <si>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</si>
  <si>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</si>
  <si>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</si>
  <si>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</si>
  <si>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</si>
  <si>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</si>
  <si>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</si>
  <si>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</si>
  <si>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</si>
  <si>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</si>
  <si>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</si>
  <si>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</si>
  <si>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</si>
  <si>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</si>
  <si>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</si>
  <si>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</si>
  <si>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</si>
  <si>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</si>
  <si>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</si>
  <si>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</si>
  <si>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</si>
  <si>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</si>
  <si>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</si>
  <si>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</si>
  <si>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</si>
  <si>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</si>
  <si>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</si>
  <si>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</si>
  <si>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</si>
  <si>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</si>
  <si>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</si>
  <si>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</si>
  <si>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</si>
  <si>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</si>
  <si>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</si>
  <si>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</si>
  <si>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</si>
  <si>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</si>
  <si>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</si>
  <si>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</si>
  <si>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</si>
  <si>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</si>
  <si>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</si>
  <si>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</si>
  <si>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</si>
  <si>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</si>
  <si>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</si>
  <si>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</si>
  <si>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</si>
  <si>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</si>
  <si>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</si>
  <si>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</si>
  <si>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</si>
  <si>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</si>
  <si>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</si>
  <si>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</si>
  <si>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</si>
  <si>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</si>
  <si>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</si>
  <si>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</si>
  <si>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</si>
  <si>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</si>
  <si>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</si>
  <si>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</si>
  <si>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</si>
  <si>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</si>
  <si>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</si>
  <si>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</si>
  <si>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</si>
  <si>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</si>
  <si>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</si>
  <si>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</si>
  <si>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</si>
  <si>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</si>
  <si>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</si>
  <si>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</si>
  <si>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</si>
  <si>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</si>
  <si>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</si>
  <si>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</si>
  <si>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</si>
  <si>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</si>
  <si>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</si>
  <si>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</si>
  <si>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</si>
  <si>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</si>
  <si>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</si>
  <si>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</si>
  <si>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</si>
  <si>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</si>
  <si>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</si>
  <si>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</si>
  <si>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</si>
  <si>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</si>
  <si>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</si>
  <si>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</si>
  <si>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</si>
  <si>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</si>
  <si>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</si>
  <si>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</si>
  <si>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</si>
  <si>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</si>
  <si>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</si>
  <si>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</si>
  <si>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</si>
  <si>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</si>
  <si>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</si>
  <si>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</si>
  <si>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</si>
  <si>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</si>
  <si>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</si>
  <si>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</si>
  <si>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</si>
  <si>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</si>
  <si>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</si>
  <si>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</si>
  <si>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</si>
  <si>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</si>
  <si>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</si>
  <si>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</si>
  <si>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</si>
  <si>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</si>
  <si>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</si>
  <si>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</si>
  <si>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</si>
  <si>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</si>
  <si>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</si>
  <si>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</si>
  <si>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</si>
  <si>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</si>
  <si>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</si>
  <si>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</si>
  <si>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</si>
  <si>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</si>
  <si>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</si>
  <si>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</si>
  <si>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</si>
  <si>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</si>
  <si>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</si>
  <si>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</si>
  <si>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</si>
  <si>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</si>
  <si>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</si>
  <si>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</si>
  <si>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</si>
  <si>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</si>
  <si>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</si>
  <si>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</si>
  <si>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</si>
  <si>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</si>
  <si>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</si>
  <si>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</si>
  <si>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</si>
  <si>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</si>
  <si>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</si>
  <si>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</si>
  <si>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</si>
  <si>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</si>
  <si>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</si>
  <si>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</si>
  <si>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</si>
  <si>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</si>
  <si>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</si>
  <si>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</si>
  <si>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</si>
  <si>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</si>
  <si>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</si>
  <si>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</si>
  <si>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</si>
  <si>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</si>
  <si>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</si>
  <si>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</si>
  <si>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</si>
  <si>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</si>
  <si>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</si>
  <si>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</si>
  <si>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Egresos Reales</t>
  </si>
  <si>
    <t>Por cobrar</t>
  </si>
  <si>
    <t>Utilidad Bruta</t>
  </si>
  <si>
    <t>Flujo de Caja</t>
  </si>
  <si>
    <t>% Avance Facturado</t>
  </si>
  <si>
    <t>% Avance Cobrado</t>
  </si>
  <si>
    <t>Cobrado Acumulado/Desembolsado</t>
  </si>
  <si>
    <t>Estimado Acumulado/Ejecutado</t>
  </si>
  <si>
    <t>Saldo por Ejecutar</t>
  </si>
  <si>
    <t>Obra</t>
  </si>
  <si>
    <t xml:space="preserve">FATIMA  </t>
  </si>
  <si>
    <t>CACUTE SUELOS CAFÉ</t>
  </si>
  <si>
    <t>CACUTE SUELOS GALPON</t>
  </si>
  <si>
    <t>ESTANCIA 2ET</t>
  </si>
  <si>
    <t>ESTANCIA ELECTRODOMESTICOS</t>
  </si>
  <si>
    <t>ESTANCIA LENCERIA</t>
  </si>
  <si>
    <t>SAN JUAN</t>
  </si>
  <si>
    <t>CONSOLIDADO OBRAS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</si>
</sst>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80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165" fontId="3" fillId="3" borderId="1" xfId="0" applyNumberFormat="1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center"/>
    </xf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9"/>
  <sheetViews>
    <sheetView tabSelected="1" zoomScale="90" zoomScaleNormal="90" workbookViewId="0">
      <selection activeCell="I14" sqref="I14"/>
    </sheetView>
  </sheetViews>
  <sheetFormatPr baseColWidth="10" defaultRowHeight="15" x14ac:dyDescent="0.25"/>
  <cols>
    <col min="1" max="1" width="12.85546875" style="32" bestFit="1" customWidth="1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bestFit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337</v>
      </c>
      <c r="B1" s="32" t="s">
        <v>327</v>
      </c>
      <c r="C1" s="32" t="s">
        <v>335</v>
      </c>
      <c r="D1" s="32" t="s">
        <v>334</v>
      </c>
      <c r="E1" s="32" t="s">
        <v>328</v>
      </c>
      <c r="F1" s="32" t="s">
        <v>329</v>
      </c>
      <c r="G1" s="32" t="s">
        <v>330</v>
      </c>
      <c r="H1" s="32" t="s">
        <v>331</v>
      </c>
      <c r="I1" s="32" t="s">
        <v>332</v>
      </c>
      <c r="J1" s="72" t="s">
        <v>333</v>
      </c>
      <c r="K1" s="32" t="s">
        <v>336</v>
      </c>
    </row>
    <row r="2" spans="1:11" x14ac:dyDescent="0.25">
      <c r="A2" s="71" t="s">
        <v>338</v>
      </c>
      <c r="B2" s="68">
        <v>39324.74</v>
      </c>
      <c r="C2" s="69">
        <v>22770.240000000002</v>
      </c>
      <c r="D2" s="68">
        <v>39324.74</v>
      </c>
      <c r="E2" s="68">
        <f t="shared" ref="E2:E8" si="0">D2-C2</f>
        <v>16554.499999999996</v>
      </c>
      <c r="F2" s="68">
        <f t="shared" ref="F2:G4" si="1">B2-D2</f>
        <v>0</v>
      </c>
      <c r="G2" s="68">
        <f t="shared" si="1"/>
        <v>6215.7400000000052</v>
      </c>
      <c r="H2" s="68">
        <f t="shared" ref="H2:H8" si="2">E2</f>
        <v>16554.499999999996</v>
      </c>
      <c r="I2" s="72">
        <f t="shared" ref="I2:I8" si="3">C2/B2</f>
        <v>0.57903091031243947</v>
      </c>
      <c r="J2" s="72">
        <f t="shared" ref="J2:J8" si="4">D2/B2</f>
        <v>1</v>
      </c>
      <c r="K2" s="68">
        <f t="shared" ref="K2:K8" si="5">B2-C2</f>
        <v>16554.499999999996</v>
      </c>
    </row>
    <row r="3" spans="1:11" x14ac:dyDescent="0.25">
      <c r="A3" s="71" t="s">
        <v>339</v>
      </c>
      <c r="B3" s="68">
        <v>580</v>
      </c>
      <c r="C3" s="69">
        <v>315</v>
      </c>
      <c r="D3" s="68">
        <v>406</v>
      </c>
      <c r="E3" s="68">
        <f t="shared" si="0"/>
        <v>91</v>
      </c>
      <c r="F3" s="68">
        <f t="shared" si="1"/>
        <v>174</v>
      </c>
      <c r="G3" s="68">
        <f t="shared" si="1"/>
        <v>224</v>
      </c>
      <c r="H3" s="68">
        <f t="shared" si="2"/>
        <v>91</v>
      </c>
      <c r="I3" s="72">
        <f t="shared" si="3"/>
        <v>0.5431034482758621</v>
      </c>
      <c r="J3" s="72">
        <f t="shared" si="4"/>
        <v>0.7</v>
      </c>
      <c r="K3" s="68">
        <f t="shared" si="5"/>
        <v>265</v>
      </c>
    </row>
    <row r="4" spans="1:11" x14ac:dyDescent="0.25">
      <c r="A4" s="71" t="s">
        <v>340</v>
      </c>
      <c r="B4" s="68">
        <v>580</v>
      </c>
      <c r="C4" s="69">
        <v>315</v>
      </c>
      <c r="D4" s="68">
        <v>406</v>
      </c>
      <c r="E4" s="68">
        <f t="shared" si="0"/>
        <v>91</v>
      </c>
      <c r="F4" s="68">
        <f t="shared" si="1"/>
        <v>174</v>
      </c>
      <c r="G4" s="68">
        <f t="shared" si="1"/>
        <v>224</v>
      </c>
      <c r="H4" s="68">
        <f t="shared" si="2"/>
        <v>91</v>
      </c>
      <c r="I4" s="72">
        <f t="shared" si="3"/>
        <v>0.5431034482758621</v>
      </c>
      <c r="J4" s="72">
        <f t="shared" si="4"/>
        <v>0.7</v>
      </c>
      <c r="K4" s="68">
        <f t="shared" si="5"/>
        <v>265</v>
      </c>
    </row>
    <row r="5" spans="1:11" x14ac:dyDescent="0.25">
      <c r="A5" s="71" t="s">
        <v>341</v>
      </c>
      <c r="B5" s="68">
        <v>10524</v>
      </c>
      <c r="C5" s="69">
        <v>0</v>
      </c>
      <c r="D5" s="69">
        <v>6314</v>
      </c>
      <c r="E5" s="68">
        <f t="shared" si="0"/>
        <v>6314</v>
      </c>
      <c r="F5" s="68">
        <f t="shared" ref="F5:F8" si="6">B5-D5</f>
        <v>4210</v>
      </c>
      <c r="G5" s="68">
        <f t="shared" ref="G5:G8" si="7">C5-E5</f>
        <v>-6314</v>
      </c>
      <c r="H5" s="68">
        <f t="shared" si="2"/>
        <v>6314</v>
      </c>
      <c r="I5" s="72">
        <f t="shared" si="3"/>
        <v>0</v>
      </c>
      <c r="J5" s="72">
        <f t="shared" si="4"/>
        <v>0.59996199163816044</v>
      </c>
      <c r="K5" s="68">
        <f t="shared" si="5"/>
        <v>10524</v>
      </c>
    </row>
    <row r="6" spans="1:11" x14ac:dyDescent="0.25">
      <c r="A6" s="71" t="s">
        <v>342</v>
      </c>
      <c r="B6" s="68">
        <v>5525</v>
      </c>
      <c r="C6" s="69">
        <v>0</v>
      </c>
      <c r="D6" s="68">
        <v>0</v>
      </c>
      <c r="E6" s="68">
        <f t="shared" si="0"/>
        <v>0</v>
      </c>
      <c r="F6" s="68">
        <f t="shared" si="6"/>
        <v>5525</v>
      </c>
      <c r="G6" s="68">
        <f t="shared" si="7"/>
        <v>0</v>
      </c>
      <c r="H6" s="68">
        <f t="shared" si="2"/>
        <v>0</v>
      </c>
      <c r="I6" s="72">
        <f t="shared" si="3"/>
        <v>0</v>
      </c>
      <c r="J6" s="72">
        <f t="shared" si="4"/>
        <v>0</v>
      </c>
      <c r="K6" s="68">
        <f t="shared" si="5"/>
        <v>5525</v>
      </c>
    </row>
    <row r="7" spans="1:11" x14ac:dyDescent="0.25">
      <c r="A7" s="71" t="s">
        <v>343</v>
      </c>
      <c r="B7" s="68">
        <v>3445</v>
      </c>
      <c r="C7" s="69">
        <v>0</v>
      </c>
      <c r="D7" s="68">
        <v>0</v>
      </c>
      <c r="E7" s="68">
        <f t="shared" si="0"/>
        <v>0</v>
      </c>
      <c r="F7" s="68">
        <f t="shared" si="6"/>
        <v>3445</v>
      </c>
      <c r="G7" s="68">
        <f t="shared" si="7"/>
        <v>0</v>
      </c>
      <c r="H7" s="68">
        <f t="shared" si="2"/>
        <v>0</v>
      </c>
      <c r="I7" s="72">
        <f t="shared" si="3"/>
        <v>0</v>
      </c>
      <c r="J7" s="72">
        <f t="shared" si="4"/>
        <v>0</v>
      </c>
      <c r="K7" s="68">
        <f t="shared" si="5"/>
        <v>3445</v>
      </c>
    </row>
    <row r="8" spans="1:11" x14ac:dyDescent="0.25">
      <c r="A8" s="71" t="s">
        <v>344</v>
      </c>
      <c r="B8" s="68">
        <v>8484</v>
      </c>
      <c r="C8" s="69">
        <v>0</v>
      </c>
      <c r="D8" s="68">
        <v>0</v>
      </c>
      <c r="E8" s="68">
        <f t="shared" si="0"/>
        <v>0</v>
      </c>
      <c r="F8" s="68">
        <f t="shared" si="6"/>
        <v>8484</v>
      </c>
      <c r="G8" s="68">
        <f t="shared" si="7"/>
        <v>0</v>
      </c>
      <c r="H8" s="68">
        <f t="shared" si="2"/>
        <v>0</v>
      </c>
      <c r="I8" s="72">
        <f t="shared" si="3"/>
        <v>0</v>
      </c>
      <c r="J8" s="72">
        <f t="shared" si="4"/>
        <v>0</v>
      </c>
      <c r="K8" s="68">
        <f t="shared" si="5"/>
        <v>8484</v>
      </c>
    </row>
    <row r="9" spans="1:11" x14ac:dyDescent="0.25">
      <c r="A9" s="71" t="s">
        <v>345</v>
      </c>
      <c r="B9" s="79">
        <f>SUM(B2:B8)</f>
        <v>68462.739999999991</v>
      </c>
      <c r="C9" s="79">
        <f>SUM(C2:C8)</f>
        <v>23400.240000000002</v>
      </c>
      <c r="D9" s="79">
        <f>SUM(D2:D8)</f>
        <v>46450.74</v>
      </c>
      <c r="E9" s="68">
        <f t="shared" ref="E9" si="8">D9-C9</f>
        <v>23050.499999999996</v>
      </c>
      <c r="F9" s="68">
        <f t="shared" ref="F9" si="9">B9-D9</f>
        <v>22011.999999999993</v>
      </c>
      <c r="G9" s="68">
        <f t="shared" ref="G9" si="10">C9-E9</f>
        <v>349.74000000000524</v>
      </c>
      <c r="H9" s="68">
        <f t="shared" ref="H9" si="11">E9</f>
        <v>23050.499999999996</v>
      </c>
      <c r="I9" s="72">
        <f t="shared" ref="I9" si="12">C9/B9</f>
        <v>0.34179525972813835</v>
      </c>
      <c r="J9" s="72">
        <f t="shared" ref="J9" si="13">D9/B9</f>
        <v>0.67848204731507977</v>
      </c>
      <c r="K9" s="68">
        <f t="shared" ref="K9" si="14">B9-C9</f>
        <v>45062.499999999985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6" t="s">
        <v>132</v>
      </c>
      <c r="B1" s="77"/>
      <c r="C1" s="77"/>
      <c r="D1" s="77"/>
      <c r="E1" s="77"/>
      <c r="F1" s="77"/>
      <c r="G1" s="77"/>
      <c r="H1" s="77"/>
      <c r="I1" s="77"/>
    </row>
    <row r="2" spans="1:9" x14ac:dyDescent="0.25">
      <c r="A2" s="77"/>
      <c r="B2" s="77"/>
      <c r="C2" s="77"/>
      <c r="D2" s="77"/>
      <c r="E2" s="77"/>
      <c r="F2" s="77"/>
      <c r="G2" s="77"/>
      <c r="H2" s="77"/>
      <c r="I2" s="77"/>
    </row>
    <row r="4" spans="1:9" x14ac:dyDescent="0.25">
      <c r="A4" s="73" t="s">
        <v>0</v>
      </c>
      <c r="B4" s="74"/>
      <c r="C4" s="73" t="s">
        <v>1</v>
      </c>
      <c r="D4" s="74"/>
      <c r="E4" s="73" t="s">
        <v>2</v>
      </c>
      <c r="F4" s="74"/>
      <c r="G4" s="73" t="s">
        <v>3</v>
      </c>
      <c r="H4" s="74"/>
    </row>
    <row r="5" spans="1:9" x14ac:dyDescent="0.25">
      <c r="A5" s="75">
        <f>Presupuesto!E11</f>
        <v>43821.59</v>
      </c>
      <c r="B5" s="74"/>
      <c r="C5" s="75">
        <f>Compras_Materiales!L120+Pago_Obreros!M47</f>
        <v>21784.026381865144</v>
      </c>
      <c r="D5" s="74"/>
      <c r="E5" s="75">
        <f>A5-C5</f>
        <v>22037.563618134853</v>
      </c>
      <c r="F5" s="74"/>
      <c r="G5" s="78">
        <f>C5/A5</f>
        <v>0.49710716525496096</v>
      </c>
      <c r="H5" s="74"/>
    </row>
    <row r="6" spans="1:9" x14ac:dyDescent="0.25">
      <c r="A6" s="74"/>
      <c r="B6" s="74"/>
      <c r="C6" s="74"/>
      <c r="D6" s="74"/>
      <c r="E6" s="74"/>
      <c r="F6" s="74"/>
      <c r="G6" s="74"/>
      <c r="H6" s="74"/>
    </row>
    <row r="7" spans="1:9" x14ac:dyDescent="0.25">
      <c r="A7" s="73" t="s">
        <v>153</v>
      </c>
      <c r="B7" s="74"/>
      <c r="C7" s="73" t="s">
        <v>1</v>
      </c>
      <c r="D7" s="74"/>
      <c r="E7" s="73" t="s">
        <v>2</v>
      </c>
      <c r="F7" s="74"/>
      <c r="G7" s="73" t="s">
        <v>3</v>
      </c>
      <c r="H7" s="74"/>
    </row>
    <row r="8" spans="1:9" ht="15" customHeight="1" x14ac:dyDescent="0.25">
      <c r="A8" s="75">
        <f>B23</f>
        <v>33203.99</v>
      </c>
      <c r="B8" s="74"/>
      <c r="C8" s="75">
        <f>C14</f>
        <v>21784.026381865144</v>
      </c>
      <c r="D8" s="74"/>
      <c r="E8" s="75">
        <f>A8-C8</f>
        <v>11419.963618134854</v>
      </c>
      <c r="F8" s="74"/>
      <c r="G8" s="78">
        <f>C8/A8</f>
        <v>0.65606652639833785</v>
      </c>
      <c r="H8" s="74"/>
    </row>
    <row r="9" spans="1:9" x14ac:dyDescent="0.25">
      <c r="A9" s="74"/>
      <c r="B9" s="74"/>
      <c r="C9" s="74"/>
      <c r="D9" s="74"/>
      <c r="E9" s="74"/>
      <c r="F9" s="74"/>
      <c r="G9" s="74"/>
      <c r="H9" s="74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7:B7"/>
    <mergeCell ref="C7:D7"/>
    <mergeCell ref="E7:F7"/>
    <mergeCell ref="G7:H7"/>
    <mergeCell ref="A8:B9"/>
    <mergeCell ref="C8:D9"/>
    <mergeCell ref="E8:F9"/>
    <mergeCell ref="G8:H9"/>
    <mergeCell ref="A4:B4"/>
    <mergeCell ref="G4:H4"/>
    <mergeCell ref="E4:F4"/>
    <mergeCell ref="C5:D6"/>
    <mergeCell ref="A1:I2"/>
    <mergeCell ref="A5:B6"/>
    <mergeCell ref="E5:F6"/>
    <mergeCell ref="G5:H6"/>
    <mergeCell ref="C4:D4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6" t="s">
        <v>12</v>
      </c>
      <c r="B1" s="77"/>
      <c r="C1" s="77"/>
      <c r="D1" s="77"/>
      <c r="E1" s="77"/>
    </row>
    <row r="2" spans="1:5" x14ac:dyDescent="0.25">
      <c r="A2" s="77"/>
      <c r="B2" s="77"/>
      <c r="C2" s="77"/>
      <c r="D2" s="77"/>
      <c r="E2" s="77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6" t="s">
        <v>25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3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6" t="s">
        <v>57</v>
      </c>
      <c r="B1" s="76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</row>
    <row r="2" spans="1:14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2026-09-05T03:47:55Z</dcterms:modified>
</cp:coreProperties>
</file>