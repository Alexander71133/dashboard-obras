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C479F596-0897-4F69-B5B8-6A2119A50E51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D10" i="9" l="1"/>
  <c r="C10" i="9"/>
  <c r="B10" i="9"/>
  <c r="K9" i="9"/>
  <c r="J9" i="9"/>
  <c r="I9" i="9"/>
  <c r="G9" i="9"/>
  <c r="F9" i="9"/>
  <c r="E9" i="9"/>
  <c r="C9" i="9"/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F3" i="9"/>
  <c r="E2" i="9"/>
  <c r="H2" i="9" s="1"/>
  <c r="E8" i="9"/>
  <c r="H8" i="9" s="1"/>
  <c r="K8" i="9"/>
  <c r="K7" i="9"/>
  <c r="I7" i="9"/>
  <c r="I6" i="9"/>
  <c r="I5" i="9"/>
  <c r="E4" i="9"/>
  <c r="H4" i="9" s="1"/>
  <c r="F6" i="9"/>
  <c r="J6" i="9"/>
  <c r="K6" i="9"/>
  <c r="J5" i="9"/>
  <c r="F5" i="9"/>
  <c r="K5" i="9"/>
  <c r="K4" i="9"/>
  <c r="J4" i="9"/>
  <c r="I4" i="9"/>
  <c r="I3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10" i="9"/>
  <c r="G10" i="9" s="1"/>
  <c r="G6" i="9"/>
  <c r="G4" i="9"/>
  <c r="G8" i="9"/>
  <c r="I10" i="9"/>
  <c r="J10" i="9"/>
  <c r="K10" i="9"/>
  <c r="F10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H10" i="9" l="1"/>
  <c r="A8" i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<sst xmlns="http://schemas.openxmlformats.org/spreadsheetml/2006/main" count="773" uniqueCount="349">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</sst>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1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4" fontId="12" fillId="0" borderId="0" xfId="0" applyNumberFormat="1" applyFont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2"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CBD5E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10" totalsRowShown="0" headerRowDxfId="0">
  <autoFilter ref="A1:L10" xr:uid="{A4D9C4A4-4BEE-43F7-B482-6B69DD695700}"/>
  <tableColumns count="12">
    <tableColumn id="1" xr3:uid="{9639892B-B05F-4273-A2D0-0F26C4BDA78B}" name="Obra" dataDxfId="11"/>
    <tableColumn id="2" xr3:uid="{E24FABEC-6585-475F-BD45-D7E037225687}" name="Monto Contrato" dataDxfId="10"/>
    <tableColumn id="3" xr3:uid="{59352CEA-A0C7-4891-8730-9739502D15D6}" name="EJECUTADO" dataDxfId="9"/>
    <tableColumn id="4" xr3:uid="{4D528DAA-1E81-4553-8223-9B69EF0E3B7B}" name="DESEMBOLSADO" dataDxfId="8"/>
    <tableColumn id="5" xr3:uid="{18FC4046-0DCE-4C45-8BF6-56269B2E56F6}" name="FLUJO DE CAJA" dataDxfId="7">
      <calculatedColumnFormula>D2-C2</calculatedColumnFormula>
    </tableColumn>
    <tableColumn id="6" xr3:uid="{899F9DB9-CF23-4328-AFEE-25EC12A8B325}" name="Por cobrar" dataDxfId="6">
      <calculatedColumnFormula>B2-D2</calculatedColumnFormula>
    </tableColumn>
    <tableColumn id="7" xr3:uid="{B77ECBA9-3527-4393-B393-7789EFC2DE7E}" name="Utilidad Bruta" dataDxfId="5">
      <calculatedColumnFormula>C2-E2</calculatedColumnFormula>
    </tableColumn>
    <tableColumn id="8" xr3:uid="{D9267B23-8841-4BA0-9258-A82B5D1E3C15}" name="Flujo de Caja2" dataDxfId="4">
      <calculatedColumnFormula>E2</calculatedColumnFormula>
    </tableColumn>
    <tableColumn id="9" xr3:uid="{5216BE03-89CB-4506-AD80-2A2BC0249463}" name="% Avance Facturado" dataDxfId="3" dataCellStyle="Porcentaje">
      <calculatedColumnFormula>C2/B2</calculatedColumnFormula>
    </tableColumn>
    <tableColumn id="10" xr3:uid="{B3979176-8352-4A1E-8E53-38F1851C0B62}" name="% Avance Cobrado" dataDxfId="2" dataCellStyle="Porcentaje">
      <calculatedColumnFormula>D2/B2</calculatedColumnFormula>
    </tableColumn>
    <tableColumn id="11" xr3:uid="{94A9DD3A-AA85-4291-8F0F-8D0CF97A777A}" name="Saldo por Ejecutar" dataDxfId="1">
      <calculatedColumnFormula>B2-C2</calculatedColumnFormula>
    </tableColumn>
    <tableColumn id="12" xr3:uid="{7A3B3339-89C3-4CDF-9786-F758C4867EFC}" name="Estad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51" dataDxfId="50">
  <autoFilter ref="A4:E10" xr:uid="{8ABC211C-7D80-490C-9B76-89253396DB9F}"/>
  <tableColumns count="5">
    <tableColumn id="1" xr3:uid="{84E4A345-4F70-4242-AEBF-DEFE862C7201}" name="Item" dataDxfId="49"/>
    <tableColumn id="2" xr3:uid="{2764A18A-9183-4772-8CF7-B73D203823AA}" name="Descripción de Partida" dataDxfId="48"/>
    <tableColumn id="3" xr3:uid="{862DB45F-14BD-479A-A469-1805C47768C4}" name="Unidad" dataDxfId="47"/>
    <tableColumn id="4" xr3:uid="{3D7A14B7-3496-46E7-91C0-3D3429704BE1}" name="Cantidad" dataDxfId="46"/>
    <tableColumn id="5" xr3:uid="{E49A0B03-5910-4839-A117-212DE1184427}" name="Costo Total Presupuestado ($)" dataDxfId="4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44" dataDxfId="43" tableBorderDxfId="42">
  <autoFilter ref="A4:M119" xr:uid="{C3432B77-315D-40F3-A17B-615A4A292D9C}"/>
  <tableColumns count="13">
    <tableColumn id="1" xr3:uid="{51E61233-9233-43B7-BB64-29A901BAEA30}" name="ID Compra" dataDxfId="41"/>
    <tableColumn id="2" xr3:uid="{9C29F3DD-7251-4C67-BC5D-7306B08C10A3}" name="Fecha" dataDxfId="40"/>
    <tableColumn id="3" xr3:uid="{C03286CD-E636-4F93-B5BB-FD2EF9316000}" name="Proveedor" dataDxfId="39"/>
    <tableColumn id="4" xr3:uid="{C3E7CDCA-7AC6-4AF8-A142-431E93F82507}" name="N° Factura" dataDxfId="38"/>
    <tableColumn id="5" xr3:uid="{1C36C9FC-DD95-4DD5-BF63-11F86DA703F7}" name="Descripción del Material" dataDxfId="37"/>
    <tableColumn id="10" xr3:uid="{BF187DCE-C330-4566-80EA-1C65219FCD24}" name="Proyecto" dataDxfId="36"/>
    <tableColumn id="6" xr3:uid="{07AC7C56-D870-42C9-A2B1-62222E777EAC}" name="Cantidad" dataDxfId="35"/>
    <tableColumn id="11" xr3:uid="{37E43724-D57F-4009-AFAE-310807BA6141}" name="Precio Unitario Bs" dataDxfId="34" dataCellStyle="Millares"/>
    <tableColumn id="13" xr3:uid="{20E3667F-97A8-40CB-9D83-5580EEF43828}" name="Precio Total Bs" dataDxfId="33" dataCellStyle="Millares">
      <calculatedColumnFormula>Tabla4[[#This Row],[Cantidad]]*Tabla4[[#This Row],[Precio Unitario Bs]]</calculatedColumnFormula>
    </tableColumn>
    <tableColumn id="12" xr3:uid="{4F7720D4-B9D1-4D0E-B98C-1D2DF82D3219}" name="Tasa" dataDxfId="32"/>
    <tableColumn id="7" xr3:uid="{121DB662-44AD-4135-8A9A-13D6E424C364}" name="Precio Unitario ($)" dataDxfId="31"/>
    <tableColumn id="8" xr3:uid="{C8E4D933-4F1F-49BC-8EE3-2244B02AB1BB}" name="Precio Total ($)" dataDxfId="30"/>
    <tableColumn id="9" xr3:uid="{91480AE5-00CF-4555-9CD6-E1FBDFDC6A12}" name="Estado / Observación" dataDxfId="2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28" dataDxfId="27" tableBorderDxfId="26">
  <autoFilter ref="A4:N46" xr:uid="{EA34636B-E6DC-4743-A5C0-1FA27FABC114}"/>
  <tableColumns count="14">
    <tableColumn id="1" xr3:uid="{BBAF9CF5-2C57-497C-ADCC-BC3BCE11CE82}" name="N° Sem" dataDxfId="25"/>
    <tableColumn id="12" xr3:uid="{60AD9872-1C78-49BE-BE30-236230C9FAFB}" name="Inicio labor" dataDxfId="24"/>
    <tableColumn id="2" xr3:uid="{B6A1A3AE-C552-4972-B3CF-C312F8E83741}" name="Fecha Pago" dataDxfId="23"/>
    <tableColumn id="3" xr3:uid="{403A8C63-508B-46D2-AF7D-E343A87090BC}" name="Nombre del Trabajador" dataDxfId="22"/>
    <tableColumn id="11" xr3:uid="{E332BA78-D135-4112-89B9-EE8E17A08EDA}" name="CI" dataDxfId="21" dataCellStyle="Millares"/>
    <tableColumn id="13" xr3:uid="{926F1834-F424-44C6-815B-F614EC784ECB}" name="N° Cuenta" dataDxfId="20" dataCellStyle="Millares"/>
    <tableColumn id="14" xr3:uid="{21A18727-7773-4BC6-9C1B-288F81640406}" name="Banco" dataDxfId="19" dataCellStyle="Millares"/>
    <tableColumn id="4" xr3:uid="{97A20550-620F-4113-9F6C-9583687D28BA}" name="Cargo / Rol" dataDxfId="18"/>
    <tableColumn id="5" xr3:uid="{C4861E6E-432A-479E-B56C-C8DDC5439D01}" name="Días Trabajados" dataDxfId="17" dataCellStyle="Millares"/>
    <tableColumn id="6" xr3:uid="{D8A42229-F2C3-45EB-AA32-B6A5645D3970}" name="Pago Diario ($)" dataDxfId="16"/>
    <tableColumn id="7" xr3:uid="{ECD689E9-2C20-47A1-AAE6-3C4B456C6E73}" name="Bonificación ($)" dataDxfId="15"/>
    <tableColumn id="8" xr3:uid="{B708F2B1-6B11-4DD2-BD9A-DFF48B584291}" name="Deducciones ($)" dataDxfId="14"/>
    <tableColumn id="9" xr3:uid="{CF88BABA-BA05-4A83-A637-4B472029040F}" name="Total Pagado ($)" dataDxfId="13"/>
    <tableColumn id="10" xr3:uid="{8B29990E-C3AB-45EA-9AE7-197947CFEB49}" name="Notas / Frente de Trabajo" dataDxfId="1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10"/>
  <sheetViews>
    <sheetView tabSelected="1" zoomScale="88" zoomScaleNormal="88" workbookViewId="0">
      <selection activeCell="I15" sqref="I15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6.28515625" style="32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72" customWidth="1"/>
    <col min="11" max="11" width="19.140625" customWidth="1"/>
    <col min="12" max="12" width="11.85546875" bestFit="1" customWidth="1"/>
  </cols>
  <sheetData>
    <row r="1" spans="1:12" x14ac:dyDescent="0.25">
      <c r="A1" s="32" t="s">
        <v>333</v>
      </c>
      <c r="B1" s="32" t="s">
        <v>327</v>
      </c>
      <c r="C1" s="32" t="s">
        <v>342</v>
      </c>
      <c r="D1" s="32" t="s">
        <v>343</v>
      </c>
      <c r="E1" s="32" t="s">
        <v>344</v>
      </c>
      <c r="F1" s="32" t="s">
        <v>328</v>
      </c>
      <c r="G1" s="32" t="s">
        <v>329</v>
      </c>
      <c r="H1" s="32" t="s">
        <v>348</v>
      </c>
      <c r="I1" s="32" t="s">
        <v>330</v>
      </c>
      <c r="J1" s="72" t="s">
        <v>331</v>
      </c>
      <c r="K1" s="32" t="s">
        <v>332</v>
      </c>
      <c r="L1" s="32" t="s">
        <v>345</v>
      </c>
    </row>
    <row r="2" spans="1:12" x14ac:dyDescent="0.25">
      <c r="A2" s="71" t="s">
        <v>334</v>
      </c>
      <c r="B2" s="68">
        <f>[1]!Panel_Control[[#This Row],[Monto del Contrato]]</f>
        <v>38605.82</v>
      </c>
      <c r="C2" s="69">
        <f>[1]!Panel_Control[[#This Row],[Total Ejecutado]]</f>
        <v>27830.85</v>
      </c>
      <c r="D2" s="68">
        <f>[1]!Panel_Control[[#This Row],[Total Ingresos]]</f>
        <v>38605.82</v>
      </c>
      <c r="E2" s="68">
        <f t="shared" ref="E2:E9" si="0">D2-C2</f>
        <v>10774.970000000001</v>
      </c>
      <c r="F2" s="68">
        <f t="shared" ref="F2:G4" si="1">B2-D2</f>
        <v>0</v>
      </c>
      <c r="G2" s="68">
        <f t="shared" si="1"/>
        <v>17055.879999999997</v>
      </c>
      <c r="H2" s="68">
        <f t="shared" ref="H2:H8" si="2">E2</f>
        <v>10774.970000000001</v>
      </c>
      <c r="I2" s="72">
        <f t="shared" ref="I2:I9" si="3">C2/B2</f>
        <v>0.72089778173342778</v>
      </c>
      <c r="J2" s="72">
        <f t="shared" ref="J2:J9" si="4">D2/B2</f>
        <v>1</v>
      </c>
      <c r="K2" s="68">
        <f t="shared" ref="K2:K9" si="5">B2-C2</f>
        <v>10774.970000000001</v>
      </c>
      <c r="L2" t="s">
        <v>346</v>
      </c>
    </row>
    <row r="3" spans="1:12" x14ac:dyDescent="0.25">
      <c r="A3" s="71" t="s">
        <v>335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  <c r="L3" t="s">
        <v>347</v>
      </c>
    </row>
    <row r="4" spans="1:12" x14ac:dyDescent="0.25">
      <c r="A4" s="71" t="s">
        <v>336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  <c r="L4" t="s">
        <v>347</v>
      </c>
    </row>
    <row r="5" spans="1:12" x14ac:dyDescent="0.25">
      <c r="A5" s="71" t="s">
        <v>337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9" si="6">B5-D5</f>
        <v>4210</v>
      </c>
      <c r="G5" s="68">
        <f t="shared" ref="G5:G9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  <c r="L5" t="s">
        <v>347</v>
      </c>
    </row>
    <row r="6" spans="1:12" x14ac:dyDescent="0.25">
      <c r="A6" s="71" t="s">
        <v>338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  <c r="L6" t="s">
        <v>347</v>
      </c>
    </row>
    <row r="7" spans="1:12" x14ac:dyDescent="0.25">
      <c r="A7" s="71" t="s">
        <v>339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  <c r="L7" t="s">
        <v>347</v>
      </c>
    </row>
    <row r="8" spans="1:12" x14ac:dyDescent="0.25">
      <c r="A8" s="71" t="s">
        <v>340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  <c r="L8" t="s">
        <v>347</v>
      </c>
    </row>
    <row r="9" spans="1:12" x14ac:dyDescent="0.25">
      <c r="A9" s="71" t="s">
        <v>325</v>
      </c>
      <c r="B9" s="80">
        <v>15000</v>
      </c>
      <c r="C9" s="69">
        <f>[1]!Panel_Control[[#This Row],[Total Ejecutado]]</f>
        <v>0</v>
      </c>
      <c r="D9" s="80">
        <v>5000</v>
      </c>
      <c r="E9" s="68">
        <f t="shared" si="0"/>
        <v>5000</v>
      </c>
      <c r="F9" s="68">
        <f t="shared" si="6"/>
        <v>10000</v>
      </c>
      <c r="G9" s="68">
        <f t="shared" si="7"/>
        <v>-5000</v>
      </c>
      <c r="H9" s="68"/>
      <c r="I9" s="72">
        <f t="shared" si="3"/>
        <v>0</v>
      </c>
      <c r="J9" s="72">
        <f t="shared" si="4"/>
        <v>0.33333333333333331</v>
      </c>
      <c r="K9" s="68">
        <f t="shared" si="5"/>
        <v>15000</v>
      </c>
      <c r="L9" t="s">
        <v>347</v>
      </c>
    </row>
    <row r="10" spans="1:12" x14ac:dyDescent="0.25">
      <c r="A10" s="71" t="s">
        <v>341</v>
      </c>
      <c r="B10" s="73">
        <f>SUM(B2:B9)</f>
        <v>81043.360000000001</v>
      </c>
      <c r="C10" s="73">
        <f>SUM(C2:C9)</f>
        <v>31660.85</v>
      </c>
      <c r="D10" s="73">
        <f>SUM(D2:D9)</f>
        <v>63094.57</v>
      </c>
      <c r="E10" s="68">
        <f t="shared" ref="E10" si="8">D10-C10</f>
        <v>31433.72</v>
      </c>
      <c r="F10" s="68">
        <f t="shared" ref="F10" si="9">B10-D10</f>
        <v>17948.79</v>
      </c>
      <c r="G10" s="68">
        <f t="shared" ref="G10" si="10">C10-E10</f>
        <v>227.12999999999738</v>
      </c>
      <c r="H10" s="68">
        <f t="shared" ref="H10" si="11">E10</f>
        <v>31433.72</v>
      </c>
      <c r="I10" s="72">
        <f t="shared" ref="I10" si="12">C10/B10</f>
        <v>0.39066556470511588</v>
      </c>
      <c r="J10" s="72">
        <f t="shared" ref="J10" si="13">D10/B10</f>
        <v>0.77852855557814982</v>
      </c>
      <c r="K10" s="68">
        <f t="shared" ref="K10" si="14">B10-C10</f>
        <v>49382.51</v>
      </c>
      <c r="L10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2026-09-16T20:28:05Z</dcterms:modified>
</cp:coreProperties>
</file>