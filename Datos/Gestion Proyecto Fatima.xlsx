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434582C6-B063-4A49-AD3C-3E1E14C5AA28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H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<sst xmlns="http://schemas.openxmlformats.org/spreadsheetml/2006/main" count="762" uniqueCount="346">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</sst>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Soporte de compras"/>
      <sheetName val="Configuracion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A6" sqref="A6:XFD6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25621.65</v>
      </c>
      <c r="D2" s="68">
        <f>[1]!Panel_Control[[#This Row],[Total Ingresos]]</f>
        <v>33775.15</v>
      </c>
      <c r="E2" s="68">
        <f t="shared" ref="E2:E8" si="0">D2-C2</f>
        <v>8153.5</v>
      </c>
      <c r="F2" s="68">
        <f t="shared" ref="F2:G4" si="1">B2-D2</f>
        <v>4830.6699999999983</v>
      </c>
      <c r="G2" s="68">
        <f t="shared" si="1"/>
        <v>17468.150000000001</v>
      </c>
      <c r="H2" s="68">
        <f t="shared" ref="H2:H8" si="2">E2</f>
        <v>8153.5</v>
      </c>
      <c r="I2" s="72">
        <f t="shared" ref="I2:I8" si="3">C2/B2</f>
        <v>0.66367324926656146</v>
      </c>
      <c r="J2" s="72">
        <f t="shared" ref="J2:J8" si="4">D2/B2</f>
        <v>0.87487197526176108</v>
      </c>
      <c r="K2" s="68">
        <f t="shared" ref="K2:K8" si="5">B2-C2</f>
        <v>12984.169999999998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29451.65</v>
      </c>
      <c r="D9" s="73">
        <f>SUM(D2:D8)</f>
        <v>53263.9</v>
      </c>
      <c r="E9" s="68">
        <f t="shared" ref="E9" si="8">D9-C9</f>
        <v>23812.25</v>
      </c>
      <c r="F9" s="68">
        <f t="shared" ref="F9" si="9">B9-D9</f>
        <v>12779.46</v>
      </c>
      <c r="G9" s="68">
        <f t="shared" ref="G9" si="10">C9-E9</f>
        <v>5639.4000000000015</v>
      </c>
      <c r="H9" s="68">
        <f t="shared" ref="H9" si="11">E9</f>
        <v>23812.25</v>
      </c>
      <c r="I9" s="72">
        <f t="shared" ref="I9" si="12">C9/B9</f>
        <v>0.44594414941941174</v>
      </c>
      <c r="J9" s="72">
        <f t="shared" ref="J9" si="13">D9/B9</f>
        <v>0.80649894251291876</v>
      </c>
      <c r="K9" s="68">
        <f t="shared" ref="K9" si="14">B9-C9</f>
        <v>36591.71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8" t="s">
        <v>132</v>
      </c>
      <c r="B1" s="79"/>
      <c r="C1" s="79"/>
      <c r="D1" s="79"/>
      <c r="E1" s="79"/>
      <c r="F1" s="79"/>
      <c r="G1" s="79"/>
      <c r="H1" s="79"/>
      <c r="I1" s="79"/>
    </row>
    <row r="2" spans="1:9" x14ac:dyDescent="0.25">
      <c r="A2" s="79"/>
      <c r="B2" s="79"/>
      <c r="C2" s="79"/>
      <c r="D2" s="79"/>
      <c r="E2" s="79"/>
      <c r="F2" s="79"/>
      <c r="G2" s="79"/>
      <c r="H2" s="79"/>
      <c r="I2" s="79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7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7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8" t="s">
        <v>12</v>
      </c>
      <c r="B1" s="79"/>
      <c r="C1" s="79"/>
      <c r="D1" s="79"/>
      <c r="E1" s="79"/>
    </row>
    <row r="2" spans="1:5" x14ac:dyDescent="0.25">
      <c r="A2" s="79"/>
      <c r="B2" s="79"/>
      <c r="C2" s="79"/>
      <c r="D2" s="79"/>
      <c r="E2" s="79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8" t="s">
        <v>25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3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8" t="s">
        <v>57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1:14" x14ac:dyDescent="0.25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2026-09-12T13:06:35Z</dcterms:modified>
</cp:coreProperties>
</file>