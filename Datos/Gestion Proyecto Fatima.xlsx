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302E5D02-D1B6-42D4-8255-7491BD4E3A41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J2" i="9" l="1"/>
  <c r="B2" i="9"/>
  <c r="L5" i="3"/>
  <c r="L6" i="3"/>
  <c r="I5" i="3"/>
  <c r="I6" i="3"/>
  <c r="I2" i="9" l="1"/>
  <c r="F2" i="9"/>
  <c r="G2" i="9"/>
  <c r="H2" i="9"/>
  <c r="K2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s="1"/>
  <c r="C5" i="1" l="1"/>
  <c r="G5" i="1" s="1"/>
  <c r="C13" i="1"/>
  <c r="C18" i="1" s="1"/>
  <c r="E18" i="1" s="1"/>
  <c r="E17" i="1"/>
  <c r="D17" i="1"/>
  <c r="D18" i="1" l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</calcChain>
</file>

<file path=xl/sharedStrings.xml><?xml version="1.0" encoding="utf-8"?>
<sst xmlns="http://schemas.openxmlformats.org/spreadsheetml/2006/main" count="755" uniqueCount="339">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</sst>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D9" sqref="D9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f>Presupuesto!E11</f>
        <v>43821.59</v>
      </c>
      <c r="C2" s="69">
        <v>21526.560000000001</v>
      </c>
      <c r="D2" s="68">
        <v>33203.99</v>
      </c>
      <c r="E2" s="68">
        <v>21526.560000000001</v>
      </c>
      <c r="F2" s="68">
        <f>C2-D2</f>
        <v>-11677.429999999997</v>
      </c>
      <c r="G2" s="68">
        <f>C2-E2</f>
        <v>0</v>
      </c>
      <c r="H2" s="68">
        <f>D2-E2</f>
        <v>11677.429999999997</v>
      </c>
      <c r="I2" s="72">
        <f>C2/B2</f>
        <v>0.49123183344100485</v>
      </c>
      <c r="J2" s="72">
        <f>D2/B2</f>
        <v>0.75770847201117075</v>
      </c>
      <c r="K2" s="68">
        <f>B2-C2</f>
        <v>22295.029999999995</v>
      </c>
    </row>
    <row r="3" spans="1:11" x14ac:dyDescent="0.25">
      <c r="A3" s="71"/>
      <c r="B3" s="68"/>
      <c r="C3" s="69"/>
      <c r="D3" s="68"/>
      <c r="E3" s="68"/>
      <c r="F3" s="68"/>
      <c r="G3" s="68"/>
      <c r="H3" s="68"/>
      <c r="I3" s="72"/>
      <c r="K3" s="68"/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3" sqref="B23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6" t="s">
        <v>132</v>
      </c>
      <c r="B1" s="77"/>
      <c r="C1" s="77"/>
      <c r="D1" s="77"/>
      <c r="E1" s="77"/>
      <c r="F1" s="77"/>
      <c r="G1" s="77"/>
      <c r="H1" s="77"/>
      <c r="I1" s="77"/>
    </row>
    <row r="2" spans="1:9" x14ac:dyDescent="0.25">
      <c r="A2" s="77"/>
      <c r="B2" s="77"/>
      <c r="C2" s="77"/>
      <c r="D2" s="77"/>
      <c r="E2" s="77"/>
      <c r="F2" s="77"/>
      <c r="G2" s="77"/>
      <c r="H2" s="77"/>
      <c r="I2" s="77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8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8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6" t="s">
        <v>12</v>
      </c>
      <c r="B1" s="77"/>
      <c r="C1" s="77"/>
      <c r="D1" s="77"/>
      <c r="E1" s="77"/>
    </row>
    <row r="2" spans="1:5" x14ac:dyDescent="0.25">
      <c r="A2" s="77"/>
      <c r="B2" s="77"/>
      <c r="C2" s="77"/>
      <c r="D2" s="77"/>
      <c r="E2" s="77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6" t="s">
        <v>25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3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6" t="s">
        <v>57</v>
      </c>
      <c r="B1" s="76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4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2026-08-18T13:51:44Z</dcterms:modified>
</cp:coreProperties>
</file>