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610D58BD-827F-49E0-92A9-C3CEA3358EF0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D8" i="9"/>
  <c r="D7" i="9"/>
  <c r="D6" i="9"/>
  <c r="D5" i="9"/>
  <c r="D4" i="9"/>
  <c r="D3" i="9"/>
  <c r="D2" i="9"/>
  <c r="C8" i="9"/>
  <c r="C7" i="9"/>
  <c r="C6" i="9"/>
  <c r="C5" i="9"/>
  <c r="C4" i="9"/>
  <c r="C3" i="9"/>
  <c r="C2" i="9"/>
  <c r="L5" i="3"/>
  <c r="L6" i="3"/>
  <c r="I5" i="3"/>
  <c r="I6" i="3"/>
  <c r="F7" i="9" l="1"/>
  <c r="F4" i="9"/>
  <c r="E5" i="9"/>
  <c r="G5" i="9" s="1"/>
  <c r="I8" i="9"/>
  <c r="E3" i="9"/>
  <c r="H3" i="9" s="1"/>
  <c r="F8" i="9"/>
  <c r="J8" i="9"/>
  <c r="J7" i="9"/>
  <c r="E7" i="9"/>
  <c r="G7" i="9" s="1"/>
  <c r="E6" i="9"/>
  <c r="H6" i="9" s="1"/>
  <c r="D9" i="9"/>
  <c r="F3" i="9"/>
  <c r="E2" i="9"/>
  <c r="H2" i="9" s="1"/>
  <c r="E8" i="9"/>
  <c r="H8" i="9" s="1"/>
  <c r="K8" i="9"/>
  <c r="K7" i="9"/>
  <c r="I7" i="9"/>
  <c r="I6" i="9"/>
  <c r="I5" i="9"/>
  <c r="E4" i="9"/>
  <c r="H4" i="9" s="1"/>
  <c r="C9" i="9"/>
  <c r="F6" i="9"/>
  <c r="J6" i="9"/>
  <c r="K6" i="9"/>
  <c r="J5" i="9"/>
  <c r="F5" i="9"/>
  <c r="K5" i="9"/>
  <c r="K4" i="9"/>
  <c r="J4" i="9"/>
  <c r="I4" i="9"/>
  <c r="I3" i="9"/>
  <c r="B9" i="9"/>
  <c r="J3" i="9"/>
  <c r="K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5" i="9" l="1"/>
  <c r="G3" i="9"/>
  <c r="H7" i="9"/>
  <c r="E9" i="9"/>
  <c r="G9" i="9" s="1"/>
  <c r="G6" i="9"/>
  <c r="G4" i="9"/>
  <c r="G8" i="9"/>
  <c r="I9" i="9"/>
  <c r="J9" i="9"/>
  <c r="K9" i="9"/>
  <c r="F9" i="9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H9" i="9" l="1"/>
  <c r="A8" i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<sst xmlns="http://schemas.openxmlformats.org/spreadsheetml/2006/main" count="762" uniqueCount="346">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</sst>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Configuracion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9"/>
  <sheetViews>
    <sheetView tabSelected="1" zoomScale="88" zoomScaleNormal="88" workbookViewId="0">
      <selection activeCell="B2" sqref="B2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</row>
    <row r="2" spans="1:11" x14ac:dyDescent="0.25">
      <c r="A2" s="71" t="s">
        <v>335</v>
      </c>
      <c r="B2" s="68">
        <f>[1]!Panel_Control[[#This Row],[Monto del Contrato]]</f>
        <v>38605.82</v>
      </c>
      <c r="C2" s="69">
        <f>[1]!Panel_Control[[#This Row],[Total Ejecutado]]</f>
        <v>27512.659999999996</v>
      </c>
      <c r="D2" s="68">
        <f>[1]!Panel_Control[[#This Row],[Total Ingresos]]</f>
        <v>38578.26</v>
      </c>
      <c r="E2" s="68">
        <f t="shared" ref="E2:E8" si="0">D2-C2</f>
        <v>11065.600000000006</v>
      </c>
      <c r="F2" s="68">
        <f t="shared" ref="F2:G4" si="1">B2-D2</f>
        <v>27.559999999997672</v>
      </c>
      <c r="G2" s="68">
        <f t="shared" si="1"/>
        <v>16447.05999999999</v>
      </c>
      <c r="H2" s="68">
        <f t="shared" ref="H2:H8" si="2">E2</f>
        <v>11065.600000000006</v>
      </c>
      <c r="I2" s="72">
        <f t="shared" ref="I2:I8" si="3">C2/B2</f>
        <v>0.71265576019367016</v>
      </c>
      <c r="J2" s="72">
        <f t="shared" ref="J2:J8" si="4">D2/B2</f>
        <v>0.99928611799982492</v>
      </c>
      <c r="K2" s="68">
        <f t="shared" ref="K2:K8" si="5">B2-C2</f>
        <v>11093.160000000003</v>
      </c>
    </row>
    <row r="3" spans="1:11" x14ac:dyDescent="0.25">
      <c r="A3" s="71" t="s">
        <v>336</v>
      </c>
      <c r="B3" s="68">
        <f>[1]!Panel_Control[[#This Row],[Monto del Contrato]]</f>
        <v>580</v>
      </c>
      <c r="C3" s="69">
        <f>[1]!Panel_Control[[#This Row],[Total Ejecutado]]</f>
        <v>315</v>
      </c>
      <c r="D3" s="68">
        <f>[1]!Panel_Control[[#This Row],[Total Ingresos]]</f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</row>
    <row r="4" spans="1:11" x14ac:dyDescent="0.25">
      <c r="A4" s="71" t="s">
        <v>337</v>
      </c>
      <c r="B4" s="68">
        <f>[1]!Panel_Control[[#This Row],[Monto del Contrato]]</f>
        <v>580</v>
      </c>
      <c r="C4" s="69">
        <f>[1]!Panel_Control[[#This Row],[Total Ejecutado]]</f>
        <v>315</v>
      </c>
      <c r="D4" s="68">
        <f>[1]!Panel_Control[[#This Row],[Total Ingresos]]</f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</row>
    <row r="5" spans="1:11" x14ac:dyDescent="0.25">
      <c r="A5" s="71" t="s">
        <v>338</v>
      </c>
      <c r="B5" s="68">
        <f>[1]!Panel_Control[[#This Row],[Monto del Contrato]]</f>
        <v>10524</v>
      </c>
      <c r="C5" s="69">
        <f>[1]!Panel_Control[[#This Row],[Total Ejecutado]]</f>
        <v>3200</v>
      </c>
      <c r="D5" s="69">
        <f>[1]!Panel_Control[[#This Row],[Total Ingresos]]</f>
        <v>6314</v>
      </c>
      <c r="E5" s="68">
        <f t="shared" si="0"/>
        <v>3114</v>
      </c>
      <c r="F5" s="68">
        <f t="shared" ref="F5:F8" si="6">B5-D5</f>
        <v>4210</v>
      </c>
      <c r="G5" s="68">
        <f t="shared" ref="G5:G8" si="7">C5-E5</f>
        <v>86</v>
      </c>
      <c r="H5" s="68">
        <f t="shared" si="2"/>
        <v>3114</v>
      </c>
      <c r="I5" s="72">
        <f t="shared" si="3"/>
        <v>0.30406689471683768</v>
      </c>
      <c r="J5" s="72">
        <f t="shared" si="4"/>
        <v>0.59996199163816044</v>
      </c>
      <c r="K5" s="68">
        <f t="shared" si="5"/>
        <v>7324</v>
      </c>
    </row>
    <row r="6" spans="1:11" x14ac:dyDescent="0.25">
      <c r="A6" s="71" t="s">
        <v>339</v>
      </c>
      <c r="B6" s="68">
        <f>[1]!Panel_Control[[#This Row],[Monto del Contrato]]</f>
        <v>5525</v>
      </c>
      <c r="C6" s="69">
        <f>[1]!Panel_Control[[#This Row],[Total Ejecutado]]</f>
        <v>0</v>
      </c>
      <c r="D6" s="68">
        <f>[1]!Panel_Control[[#This Row],[Total Ingresos]]</f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</row>
    <row r="7" spans="1:11" x14ac:dyDescent="0.25">
      <c r="A7" s="71" t="s">
        <v>340</v>
      </c>
      <c r="B7" s="68">
        <f>[1]!Panel_Control[[#This Row],[Monto del Contrato]]</f>
        <v>1743.75</v>
      </c>
      <c r="C7" s="69">
        <f>[1]!Panel_Control[[#This Row],[Total Ejecutado]]</f>
        <v>0</v>
      </c>
      <c r="D7" s="68">
        <f>[1]!Panel_Control[[#This Row],[Total Ingresos]]</f>
        <v>1743.75</v>
      </c>
      <c r="E7" s="68">
        <f t="shared" si="0"/>
        <v>1743.75</v>
      </c>
      <c r="F7" s="68">
        <f t="shared" si="6"/>
        <v>0</v>
      </c>
      <c r="G7" s="68">
        <f t="shared" si="7"/>
        <v>-1743.75</v>
      </c>
      <c r="H7" s="68">
        <f t="shared" si="2"/>
        <v>1743.75</v>
      </c>
      <c r="I7" s="72">
        <f t="shared" si="3"/>
        <v>0</v>
      </c>
      <c r="J7" s="72">
        <f t="shared" si="4"/>
        <v>1</v>
      </c>
      <c r="K7" s="68">
        <f t="shared" si="5"/>
        <v>1743.75</v>
      </c>
    </row>
    <row r="8" spans="1:11" x14ac:dyDescent="0.25">
      <c r="A8" s="71" t="s">
        <v>341</v>
      </c>
      <c r="B8" s="68">
        <f>[1]!Panel_Control[[#This Row],[Monto del Contrato]]</f>
        <v>8484.7900000000009</v>
      </c>
      <c r="C8" s="69">
        <f>[1]!Panel_Control[[#This Row],[Total Ejecutado]]</f>
        <v>0</v>
      </c>
      <c r="D8" s="68">
        <f>[1]!Panel_Control[[#This Row],[Total Ingresos]]</f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</row>
    <row r="9" spans="1:11" x14ac:dyDescent="0.25">
      <c r="A9" s="71" t="s">
        <v>342</v>
      </c>
      <c r="B9" s="73">
        <f>SUM(B2:B8)</f>
        <v>66043.360000000001</v>
      </c>
      <c r="C9" s="73">
        <f>SUM(C2:C8)</f>
        <v>31342.659999999996</v>
      </c>
      <c r="D9" s="73">
        <f>SUM(D2:D8)</f>
        <v>58067.01</v>
      </c>
      <c r="E9" s="68">
        <f t="shared" ref="E9" si="8">D9-C9</f>
        <v>26724.350000000006</v>
      </c>
      <c r="F9" s="68">
        <f t="shared" ref="F9" si="9">B9-D9</f>
        <v>7976.3499999999985</v>
      </c>
      <c r="G9" s="68">
        <f t="shared" ref="G9" si="10">C9-E9</f>
        <v>4618.3099999999904</v>
      </c>
      <c r="H9" s="68">
        <f t="shared" ref="H9" si="11">E9</f>
        <v>26724.350000000006</v>
      </c>
      <c r="I9" s="72">
        <f t="shared" ref="I9" si="12">C9/B9</f>
        <v>0.47457700516751411</v>
      </c>
      <c r="J9" s="72">
        <f t="shared" ref="J9" si="13">D9/B9</f>
        <v>0.87922555727025398</v>
      </c>
      <c r="K9" s="68">
        <f t="shared" ref="K9" si="14">B9-C9</f>
        <v>34700.700000000004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9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9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2026-09-14T19:46:53Z</dcterms:modified>
</cp:coreProperties>
</file>