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D2517208-8F6D-4289-9DCC-20531A037441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F2" i="9" l="1"/>
  <c r="E2" i="9"/>
  <c r="J2" i="9"/>
  <c r="B2" i="9"/>
  <c r="L5" i="3"/>
  <c r="L6" i="3"/>
  <c r="I5" i="3"/>
  <c r="I6" i="3"/>
  <c r="I2" i="9" l="1"/>
  <c r="G2" i="9"/>
  <c r="H2" i="9"/>
  <c r="K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s="1"/>
  <c r="C5" i="1" l="1"/>
  <c r="G5" i="1" s="1"/>
  <c r="C13" i="1"/>
  <c r="C18" i="1" s="1"/>
  <c r="E18" i="1" s="1"/>
  <c r="E17" i="1"/>
  <c r="D17" i="1"/>
  <c r="D18" i="1" l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<sst xmlns="http://schemas.openxmlformats.org/spreadsheetml/2006/main" count="755" uniqueCount="339">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</sst>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G10" sqref="G10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f>Presupuesto!E11</f>
        <v>43821.59</v>
      </c>
      <c r="C2" s="69">
        <v>21810.36</v>
      </c>
      <c r="D2" s="68">
        <v>33203.99</v>
      </c>
      <c r="E2" s="68">
        <f>C2</f>
        <v>21810.36</v>
      </c>
      <c r="F2" s="68">
        <f>B2-D2</f>
        <v>10617.599999999999</v>
      </c>
      <c r="G2" s="68">
        <f>C2-E2</f>
        <v>0</v>
      </c>
      <c r="H2" s="68">
        <f>D2-E2</f>
        <v>11393.629999999997</v>
      </c>
      <c r="I2" s="72">
        <f>C2/B2</f>
        <v>0.49770809320246029</v>
      </c>
      <c r="J2" s="72">
        <f>D2/B2</f>
        <v>0.75770847201117075</v>
      </c>
      <c r="K2" s="68">
        <f>B2-C2</f>
        <v>22011.229999999996</v>
      </c>
    </row>
    <row r="3" spans="1:11" x14ac:dyDescent="0.25">
      <c r="A3" s="71"/>
      <c r="B3" s="68"/>
      <c r="C3" s="69"/>
      <c r="D3" s="68"/>
      <c r="E3" s="68"/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2026-08-18T20:04:33Z</dcterms:modified>
</cp:coreProperties>
</file>