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HP I5\Documents\Dashboard_Obras\Datos\"/>
    </mc:Choice>
  </mc:AlternateContent>
  <xr:revisionPtr revIDLastSave="0" documentId="13_ncr:1_{A7210AFE-93D3-4C90-B3F7-2B4E53D5E96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Resumen Financiero" sheetId="9" r:id="rId1"/>
    <sheet name="Dashboard" sheetId="1" state="hidden" r:id="rId2"/>
    <sheet name="Presupuesto" sheetId="2" state="hidden" r:id="rId3"/>
    <sheet name="Compras_Materiales" sheetId="3" state="hidden" r:id="rId4"/>
    <sheet name="Pago_Obreros" sheetId="4" state="hidden" r:id="rId5"/>
    <sheet name="Pago nomina" sheetId="8" state="hidden" r:id="rId6"/>
    <sheet name="Hoja1" sheetId="7" state="hidden" r:id="rId7"/>
    <sheet name="Nomina" sheetId="5" state="hidden" r:id="rId8"/>
    <sheet name="Calculos" sheetId="6" state="hidden" r:id="rId9"/>
  </sheets>
  <externalReferences>
    <externalReference r:id="rId10"/>
  </externalReferences>
  <calcPr calcId="181029"/>
</workbook>
</file>

<file path=xl/calcChain.xml><?xml version="1.0" encoding="utf-8"?>
<calcChain xmlns="http://schemas.openxmlformats.org/spreadsheetml/2006/main">
  <c r="B8" i="9" l="1"/>
  <c r="B7" i="9"/>
  <c r="B6" i="9"/>
  <c r="B5" i="9"/>
  <c r="B4" i="9"/>
  <c r="B3" i="9"/>
  <c r="B2" i="9"/>
  <c r="L5" i="3"/>
  <c r="L6" i="3"/>
  <c r="I5" i="3"/>
  <c r="I6" i="3"/>
  <c r="B9" i="9" l="1"/>
  <c r="L112" i="3"/>
  <c r="L111" i="3"/>
  <c r="M29" i="4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" i="7"/>
  <c r="J11" i="7"/>
  <c r="J10" i="7"/>
  <c r="J9" i="7"/>
  <c r="J8" i="7"/>
  <c r="J7" i="7"/>
  <c r="J6" i="7"/>
  <c r="J5" i="7"/>
  <c r="J4" i="7"/>
  <c r="J3" i="7"/>
  <c r="J2" i="7"/>
  <c r="J1" i="7"/>
  <c r="M28" i="4"/>
  <c r="M20" i="4"/>
  <c r="M21" i="4"/>
  <c r="M22" i="4"/>
  <c r="M23" i="4"/>
  <c r="M24" i="4"/>
  <c r="M25" i="4"/>
  <c r="M26" i="4"/>
  <c r="M27" i="4"/>
  <c r="M17" i="4"/>
  <c r="M18" i="4"/>
  <c r="M19" i="4"/>
  <c r="M6" i="4"/>
  <c r="M7" i="4"/>
  <c r="M8" i="4"/>
  <c r="K109" i="3"/>
  <c r="L109" i="3" s="1"/>
  <c r="K110" i="3"/>
  <c r="L110" i="3" s="1"/>
  <c r="I109" i="3"/>
  <c r="I110" i="3"/>
  <c r="K108" i="3"/>
  <c r="L108" i="3" s="1"/>
  <c r="I108" i="3"/>
  <c r="K107" i="3"/>
  <c r="L107" i="3" s="1"/>
  <c r="I107" i="3"/>
  <c r="L105" i="3"/>
  <c r="K106" i="3"/>
  <c r="L106" i="3" s="1"/>
  <c r="I105" i="3"/>
  <c r="I106" i="3"/>
  <c r="I104" i="3"/>
  <c r="K104" i="3"/>
  <c r="L104" i="3" s="1"/>
  <c r="L99" i="3"/>
  <c r="K100" i="3"/>
  <c r="L100" i="3" s="1"/>
  <c r="K101" i="3"/>
  <c r="L101" i="3" s="1"/>
  <c r="K102" i="3"/>
  <c r="L102" i="3" s="1"/>
  <c r="K103" i="3"/>
  <c r="L103" i="3" s="1"/>
  <c r="I99" i="3"/>
  <c r="I100" i="3"/>
  <c r="I101" i="3"/>
  <c r="I102" i="3"/>
  <c r="I103" i="3"/>
  <c r="I98" i="3"/>
  <c r="K98" i="3"/>
  <c r="L98" i="3" s="1"/>
  <c r="K93" i="3"/>
  <c r="L93" i="3" s="1"/>
  <c r="K94" i="3"/>
  <c r="L94" i="3" s="1"/>
  <c r="K95" i="3"/>
  <c r="L95" i="3" s="1"/>
  <c r="K96" i="3"/>
  <c r="L96" i="3" s="1"/>
  <c r="K97" i="3"/>
  <c r="L97" i="3" s="1"/>
  <c r="I93" i="3"/>
  <c r="I94" i="3"/>
  <c r="I95" i="3"/>
  <c r="I96" i="3"/>
  <c r="I97" i="3"/>
  <c r="K83" i="3" l="1"/>
  <c r="L83" i="3" s="1"/>
  <c r="K84" i="3"/>
  <c r="L84" i="3" s="1"/>
  <c r="K85" i="3"/>
  <c r="L85" i="3" s="1"/>
  <c r="K86" i="3"/>
  <c r="L86" i="3" s="1"/>
  <c r="K87" i="3"/>
  <c r="L87" i="3" s="1"/>
  <c r="K88" i="3"/>
  <c r="L88" i="3" s="1"/>
  <c r="K89" i="3"/>
  <c r="L89" i="3" s="1"/>
  <c r="K90" i="3"/>
  <c r="L90" i="3" s="1"/>
  <c r="K91" i="3"/>
  <c r="L91" i="3" s="1"/>
  <c r="K92" i="3"/>
  <c r="L92" i="3" s="1"/>
  <c r="K82" i="3"/>
  <c r="L82" i="3" s="1"/>
  <c r="K61" i="3"/>
  <c r="L61" i="3" s="1"/>
  <c r="K62" i="3"/>
  <c r="L62" i="3" s="1"/>
  <c r="K63" i="3"/>
  <c r="L63" i="3" s="1"/>
  <c r="K64" i="3"/>
  <c r="L64" i="3" s="1"/>
  <c r="K65" i="3"/>
  <c r="L65" i="3" s="1"/>
  <c r="K66" i="3"/>
  <c r="L66" i="3" s="1"/>
  <c r="K67" i="3"/>
  <c r="L67" i="3" s="1"/>
  <c r="K68" i="3"/>
  <c r="L68" i="3" s="1"/>
  <c r="K69" i="3"/>
  <c r="L69" i="3" s="1"/>
  <c r="K70" i="3"/>
  <c r="L70" i="3" s="1"/>
  <c r="K71" i="3"/>
  <c r="L71" i="3" s="1"/>
  <c r="K72" i="3"/>
  <c r="L72" i="3" s="1"/>
  <c r="K73" i="3"/>
  <c r="L73" i="3" s="1"/>
  <c r="K74" i="3"/>
  <c r="L74" i="3" s="1"/>
  <c r="K75" i="3"/>
  <c r="L75" i="3" s="1"/>
  <c r="K76" i="3"/>
  <c r="L76" i="3" s="1"/>
  <c r="K77" i="3"/>
  <c r="L77" i="3" s="1"/>
  <c r="K78" i="3"/>
  <c r="L78" i="3" s="1"/>
  <c r="K79" i="3"/>
  <c r="L79" i="3" s="1"/>
  <c r="K80" i="3"/>
  <c r="L80" i="3" s="1"/>
  <c r="K81" i="3"/>
  <c r="L81" i="3" s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K60" i="3"/>
  <c r="L60" i="3" s="1"/>
  <c r="M14" i="4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2" i="6"/>
  <c r="L13" i="3"/>
  <c r="L14" i="3"/>
  <c r="L15" i="3"/>
  <c r="L16" i="3"/>
  <c r="L28" i="3"/>
  <c r="L29" i="3"/>
  <c r="L30" i="3"/>
  <c r="L31" i="3"/>
  <c r="L17" i="3"/>
  <c r="L18" i="3"/>
  <c r="L19" i="3"/>
  <c r="L20" i="3"/>
  <c r="L21" i="3"/>
  <c r="L22" i="3"/>
  <c r="L23" i="3"/>
  <c r="L24" i="3"/>
  <c r="L25" i="3"/>
  <c r="L26" i="3"/>
  <c r="L27" i="3"/>
  <c r="L58" i="3"/>
  <c r="L57" i="3"/>
  <c r="L38" i="3"/>
  <c r="L39" i="3"/>
  <c r="B19" i="1"/>
  <c r="L37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9" i="3"/>
  <c r="B23" i="1"/>
  <c r="D23" i="1"/>
  <c r="J123" i="3"/>
  <c r="F3" i="5"/>
  <c r="F4" i="5"/>
  <c r="G4" i="5" s="1"/>
  <c r="F5" i="5"/>
  <c r="G5" i="5" s="1"/>
  <c r="F6" i="5"/>
  <c r="G6" i="5" s="1"/>
  <c r="F2" i="5"/>
  <c r="A8" i="1" l="1"/>
  <c r="G7" i="5"/>
  <c r="L12" i="3"/>
  <c r="L32" i="3"/>
  <c r="L33" i="3"/>
  <c r="L34" i="3"/>
  <c r="L35" i="3"/>
  <c r="L36" i="3"/>
  <c r="L7" i="3"/>
  <c r="L8" i="3"/>
  <c r="L9" i="3"/>
  <c r="L10" i="3"/>
  <c r="L11" i="3"/>
  <c r="E10" i="2"/>
  <c r="B13" i="1" s="1"/>
  <c r="E7" i="2"/>
  <c r="B12" i="1" s="1"/>
  <c r="M9" i="4"/>
  <c r="M10" i="4"/>
  <c r="M11" i="4"/>
  <c r="M12" i="4"/>
  <c r="M13" i="4"/>
  <c r="M5" i="4"/>
  <c r="M15" i="4"/>
  <c r="M16" i="4"/>
  <c r="M37" i="4"/>
  <c r="M38" i="4"/>
  <c r="M39" i="4"/>
  <c r="M40" i="4"/>
  <c r="M41" i="4"/>
  <c r="M42" i="4"/>
  <c r="M43" i="4"/>
  <c r="M44" i="4"/>
  <c r="M45" i="4"/>
  <c r="M46" i="4"/>
  <c r="L120" i="3" l="1"/>
  <c r="C12" i="1" s="1"/>
  <c r="C17" i="1" s="1"/>
  <c r="M47" i="4"/>
  <c r="J122" i="3"/>
  <c r="E11" i="2"/>
  <c r="A5" i="1" l="1"/>
  <c r="C5" i="1"/>
  <c r="C13" i="1"/>
  <c r="C18" i="1" s="1"/>
  <c r="E18" i="1" s="1"/>
  <c r="E17" i="1"/>
  <c r="D17" i="1"/>
  <c r="G5" i="1" l="1"/>
  <c r="D18" i="1"/>
  <c r="D19" i="1" s="1"/>
  <c r="C14" i="1"/>
  <c r="C8" i="1" s="1"/>
  <c r="E13" i="1"/>
  <c r="C19" i="1"/>
  <c r="E19" i="1" s="1"/>
  <c r="D13" i="1"/>
  <c r="E5" i="1"/>
  <c r="G8" i="1" l="1"/>
  <c r="E8" i="1"/>
  <c r="E12" i="1"/>
  <c r="B14" i="1" l="1"/>
  <c r="D12" i="1"/>
  <c r="D14" i="1" s="1"/>
  <c r="E14" i="1" l="1"/>
  <c r="B24" i="1"/>
  <c r="D8" i="9" l="1"/>
  <c r="F8" i="9" l="1"/>
  <c r="J8" i="9"/>
  <c r="C8" i="9" l="1"/>
  <c r="I8" i="9" l="1"/>
  <c r="K8" i="9"/>
  <c r="E8" i="9"/>
  <c r="H8" i="9" s="1"/>
  <c r="D7" i="9"/>
  <c r="D5" i="9"/>
  <c r="D6" i="9"/>
  <c r="D2" i="9"/>
  <c r="D3" i="9"/>
  <c r="D4" i="9"/>
  <c r="J7" i="9" l="1"/>
  <c r="F7" i="9"/>
  <c r="F5" i="9"/>
  <c r="J5" i="9"/>
  <c r="D9" i="9"/>
  <c r="F2" i="9"/>
  <c r="J2" i="9"/>
  <c r="F4" i="9"/>
  <c r="J4" i="9"/>
  <c r="G8" i="9"/>
  <c r="F3" i="9"/>
  <c r="J3" i="9"/>
  <c r="F6" i="9"/>
  <c r="J6" i="9"/>
  <c r="J9" i="9" l="1"/>
  <c r="F9" i="9"/>
  <c r="C4" i="9"/>
  <c r="C6" i="9"/>
  <c r="C7" i="9"/>
  <c r="C2" i="9"/>
  <c r="C3" i="9"/>
  <c r="C5" i="9"/>
  <c r="I6" i="9" l="1"/>
  <c r="K6" i="9"/>
  <c r="E6" i="9"/>
  <c r="H6" i="9" s="1"/>
  <c r="K4" i="9"/>
  <c r="I4" i="9"/>
  <c r="E4" i="9"/>
  <c r="H4" i="9" s="1"/>
  <c r="K3" i="9"/>
  <c r="I3" i="9"/>
  <c r="E3" i="9"/>
  <c r="H3" i="9" s="1"/>
  <c r="K5" i="9"/>
  <c r="I5" i="9"/>
  <c r="E5" i="9"/>
  <c r="C9" i="9"/>
  <c r="K2" i="9"/>
  <c r="I2" i="9"/>
  <c r="E2" i="9"/>
  <c r="H2" i="9" s="1"/>
  <c r="I7" i="9"/>
  <c r="K7" i="9"/>
  <c r="E7" i="9"/>
  <c r="G4" i="9" l="1"/>
  <c r="K9" i="9"/>
  <c r="I9" i="9"/>
  <c r="E9" i="9"/>
  <c r="G5" i="9"/>
  <c r="H5" i="9"/>
  <c r="G3" i="9"/>
  <c r="G7" i="9"/>
  <c r="H7" i="9"/>
  <c r="G2" i="9"/>
  <c r="G6" i="9"/>
  <c r="G9" i="9" l="1"/>
  <c r="H9" i="9"/>
</calcChain>
</file>

<file path=xl/sharedStrings.xml><?xml version="1.0" encoding="utf-8"?>
<sst xmlns="http://schemas.openxmlformats.org/spreadsheetml/2006/main" count="771" uniqueCount="349">
  <si>
    <t>PRESUPUESTO TOTAL</t>
  </si>
  <si>
    <t>GASTO EJECUTADO</t>
  </si>
  <si>
    <t>SALDO DISPONIBLE</t>
  </si>
  <si>
    <t>% EJECUCIÓN FINANCIERA</t>
  </si>
  <si>
    <t>Categoría de Gasto</t>
  </si>
  <si>
    <t>Presupuestado ($)</t>
  </si>
  <si>
    <t>Ejecutado Real ($)</t>
  </si>
  <si>
    <t>Saldo / Variación ($)</t>
  </si>
  <si>
    <t>% Ejecución</t>
  </si>
  <si>
    <t>Materiales e Insumos</t>
  </si>
  <si>
    <t>Mano de Obra (Obreros)</t>
  </si>
  <si>
    <t>TOTAL OBRA</t>
  </si>
  <si>
    <t>PRESUPUESTO BASE DE LA OBRA</t>
  </si>
  <si>
    <t>Item</t>
  </si>
  <si>
    <t>Descripción de Partida</t>
  </si>
  <si>
    <t>Unidad</t>
  </si>
  <si>
    <t>Cantidad</t>
  </si>
  <si>
    <t>Costo Total Presupuestado ($)</t>
  </si>
  <si>
    <t>1.0</t>
  </si>
  <si>
    <t>MATERIALES E INSUMOS</t>
  </si>
  <si>
    <t>1.1</t>
  </si>
  <si>
    <t>SUB</t>
  </si>
  <si>
    <t>2.0</t>
  </si>
  <si>
    <t>2.1</t>
  </si>
  <si>
    <t>TOTAL PRESUPUESTO DE OBRA</t>
  </si>
  <si>
    <t>REGISTRO DE COMPRAS DE MATERIALES E INSUMOS</t>
  </si>
  <si>
    <t>ID Compra</t>
  </si>
  <si>
    <t>Fecha</t>
  </si>
  <si>
    <t>Proveedor</t>
  </si>
  <si>
    <t>N° Factura</t>
  </si>
  <si>
    <t>Descripción del Material</t>
  </si>
  <si>
    <t>Precio Unitario ($)</t>
  </si>
  <si>
    <t>Estado / Observación</t>
  </si>
  <si>
    <t>MAT-001</t>
  </si>
  <si>
    <t>Entregado en obra</t>
  </si>
  <si>
    <t>MAT-002</t>
  </si>
  <si>
    <t>MAT-003</t>
  </si>
  <si>
    <t>MAT-004</t>
  </si>
  <si>
    <t>MAT-005</t>
  </si>
  <si>
    <t>MAT-006</t>
  </si>
  <si>
    <t>MAT-007</t>
  </si>
  <si>
    <t>MAT-008</t>
  </si>
  <si>
    <t>MAT-009</t>
  </si>
  <si>
    <t>MAT-010</t>
  </si>
  <si>
    <t>MAT-011</t>
  </si>
  <si>
    <t>MAT-012</t>
  </si>
  <si>
    <t>MAT-013</t>
  </si>
  <si>
    <t>MAT-014</t>
  </si>
  <si>
    <t>MAT-015</t>
  </si>
  <si>
    <t>MAT-016</t>
  </si>
  <si>
    <t>MAT-017</t>
  </si>
  <si>
    <t>MAT-018</t>
  </si>
  <si>
    <t>MAT-019</t>
  </si>
  <si>
    <t>MAT-020</t>
  </si>
  <si>
    <t>MAT-021</t>
  </si>
  <si>
    <t>MAT-022</t>
  </si>
  <si>
    <t>TOTAL COMPRAS MATERIALES</t>
  </si>
  <si>
    <t>CONTROL SEMANAL DE NÓMINA Y PAGO A OBREROS</t>
  </si>
  <si>
    <t>N° Sem</t>
  </si>
  <si>
    <t>Fecha Pago</t>
  </si>
  <si>
    <t>Nombre del Trabajador</t>
  </si>
  <si>
    <t>Cargo / Rol</t>
  </si>
  <si>
    <t>Días Trabajados</t>
  </si>
  <si>
    <t>Pago Diario ($)</t>
  </si>
  <si>
    <t>Bonificación ($)</t>
  </si>
  <si>
    <t>Deducciones ($)</t>
  </si>
  <si>
    <t>Total Pagado ($)</t>
  </si>
  <si>
    <t>Notas / Frente de Trabajo</t>
  </si>
  <si>
    <t>TOTAL NÓMINA MANO DE OBRA</t>
  </si>
  <si>
    <t>Subtotal Categoría Materiales e insumos</t>
  </si>
  <si>
    <t>MANO DE OBRA</t>
  </si>
  <si>
    <t>Nomina Obreros</t>
  </si>
  <si>
    <t>Subtotal Nomina Obreros</t>
  </si>
  <si>
    <t xml:space="preserve">MATERIALES, INSUMOS, SERVICIOS </t>
  </si>
  <si>
    <t>IVA</t>
  </si>
  <si>
    <t>ARQUITECTO</t>
  </si>
  <si>
    <t>PAOLA RANGEL</t>
  </si>
  <si>
    <t>SEMANA</t>
  </si>
  <si>
    <t>INGENIERO</t>
  </si>
  <si>
    <t>JEANETTE CONTRERAS</t>
  </si>
  <si>
    <t>OBRERO</t>
  </si>
  <si>
    <t>ALBAÑIL</t>
  </si>
  <si>
    <t>MAESTRO</t>
  </si>
  <si>
    <t>Baños</t>
  </si>
  <si>
    <t>DEMOLICION</t>
  </si>
  <si>
    <t>PINTURA CAUCHO DEKORAL BLANCO 4GL</t>
  </si>
  <si>
    <t>SELLACRIL MONTANA SELLADOR ANTI 4GL</t>
  </si>
  <si>
    <t>BOBINA KRAFT 60CM X 180 METROS</t>
  </si>
  <si>
    <t>SELLAGRIL MONTANA SELLADOR ANTIALCALIN</t>
  </si>
  <si>
    <t>MATERIALES LOS ANDES</t>
  </si>
  <si>
    <t>TIENDAS MONSALVE</t>
  </si>
  <si>
    <t>PLASTICO NEGRO 3MTS X 450MICRAS XMTS</t>
  </si>
  <si>
    <t>GUANTE ANTICORTE AZUL YOU GAIN</t>
  </si>
  <si>
    <t>LENTE SEGURIDAD SUP CLARO INFINITY</t>
  </si>
  <si>
    <t>Proyecto</t>
  </si>
  <si>
    <t>AULAS</t>
  </si>
  <si>
    <t>BAÑOS</t>
  </si>
  <si>
    <t>Aulas</t>
  </si>
  <si>
    <t>ANDAMIOS CA</t>
  </si>
  <si>
    <t>TABLEROS PARA ANDAMIOS</t>
  </si>
  <si>
    <t>MAT-023</t>
  </si>
  <si>
    <t>MAT-024</t>
  </si>
  <si>
    <t>MAT-025</t>
  </si>
  <si>
    <t>MAT-026</t>
  </si>
  <si>
    <t>MAT-027</t>
  </si>
  <si>
    <t>MAT-028</t>
  </si>
  <si>
    <t>MAT-029</t>
  </si>
  <si>
    <t>MAT-030</t>
  </si>
  <si>
    <t>MAT-031</t>
  </si>
  <si>
    <t>MAT-032</t>
  </si>
  <si>
    <t>MAT-033</t>
  </si>
  <si>
    <t>MAT-034</t>
  </si>
  <si>
    <t>MAT-035</t>
  </si>
  <si>
    <t>MAT-036</t>
  </si>
  <si>
    <t>MAT-037</t>
  </si>
  <si>
    <t>MAT-038</t>
  </si>
  <si>
    <t>MAT-039</t>
  </si>
  <si>
    <t>MAT-040</t>
  </si>
  <si>
    <t>JESUS ENRIQUE ROJAS ROJAS</t>
  </si>
  <si>
    <t>OBDULIO JOSE ZAMBRANO SANCHEZ</t>
  </si>
  <si>
    <t>WISTER DE JESUS NIETO ALBARRAN</t>
  </si>
  <si>
    <t>DIARIO</t>
  </si>
  <si>
    <t>JOSE GREGORIO ALEMAN ALBARRAN</t>
  </si>
  <si>
    <t>Dia</t>
  </si>
  <si>
    <t>FERRELECTRICA GONZUR CA</t>
  </si>
  <si>
    <t>TAPA GALVANIZADA 1/2"</t>
  </si>
  <si>
    <t xml:space="preserve">FARMACIA LIDERFARMA URDANETA CA </t>
  </si>
  <si>
    <t>TAPABOCA KN95 BLANCO</t>
  </si>
  <si>
    <t>MAT-041</t>
  </si>
  <si>
    <t>JUAN CARLOS TORO ROJAS</t>
  </si>
  <si>
    <t>CI</t>
  </si>
  <si>
    <t>Inicio labor</t>
  </si>
  <si>
    <t>DASHBOARD DE CONTROL DE OBRA (COLEGIO NUESTRA SEÑORA DEL FATIMA)</t>
  </si>
  <si>
    <t>PALA PLASTICA MEDIANA</t>
  </si>
  <si>
    <t>TENAZA CABILLERA 10"</t>
  </si>
  <si>
    <t>TENAZA CABILLERA 8"</t>
  </si>
  <si>
    <t>ALAMBRE GALVANIZADO C-17,5 ROLLO 750gr ALMAGAL</t>
  </si>
  <si>
    <t>SOLDADURA PVC 1/64 CONDICIONES HUMEDAS</t>
  </si>
  <si>
    <t>LIMPIADOR REMOVEDOR 118CM PAVCO</t>
  </si>
  <si>
    <t>TAPA SOLDADA 1/2" AGUA FRIA</t>
  </si>
  <si>
    <t>TEFLON 1/2" X 7MT BLISTER</t>
  </si>
  <si>
    <t>L</t>
  </si>
  <si>
    <t>M</t>
  </si>
  <si>
    <t>J</t>
  </si>
  <si>
    <t>V</t>
  </si>
  <si>
    <t>S</t>
  </si>
  <si>
    <t>MEDIODIA</t>
  </si>
  <si>
    <t>KEYLA VARGAS</t>
  </si>
  <si>
    <t>FLETE</t>
  </si>
  <si>
    <t>ARENA X MT 3</t>
  </si>
  <si>
    <t>TEIPE NEGRO 3/4 X 18 MTR 0,13 MM</t>
  </si>
  <si>
    <t>CARPINTERO</t>
  </si>
  <si>
    <t>CLOSETS Y PUERTAS</t>
  </si>
  <si>
    <t>ABONADO</t>
  </si>
  <si>
    <t>SACO ESCOMBRO 55CM X 97CM 50KLG</t>
  </si>
  <si>
    <t>PEGO ESTÁNDAR GRIS 14KG OCCIDENTE</t>
  </si>
  <si>
    <t>W.C. BLANCO C/PUSH BOTTON 660 SANPLUS</t>
  </si>
  <si>
    <t>BLOQUE D/ARCILLA 10 X 20 X 30CM SAN JAV</t>
  </si>
  <si>
    <t>CEMENTO BLANCO 20KG SACO ARGOS</t>
  </si>
  <si>
    <t>MAXICAL DE 10KG</t>
  </si>
  <si>
    <t>CEMENTO GRIS 42.5KG SACO CATATUMBO</t>
  </si>
  <si>
    <t>BLOQUE D/ARCILLA 15 X 20 X 30 CM</t>
  </si>
  <si>
    <t>ARCO P/SEGUETA 12" THT54166 TOTAL</t>
  </si>
  <si>
    <t>MARCO P/PUERTA DE 10 Cm X 0.90mm X 5.15M</t>
  </si>
  <si>
    <t>MANDARRIA 2K C/MANGO INGCO</t>
  </si>
  <si>
    <t>MARTILLO M/MAD.29MM TOTAL</t>
  </si>
  <si>
    <t>JGO D/RODIL 3PZ FUNDA C/BAND P/CORT CEBR</t>
  </si>
  <si>
    <t>TIRRO VERDE 401 ENMASCARAR-PINTAR NORMAL</t>
  </si>
  <si>
    <t>TIRRO 1*55MTS 3M</t>
  </si>
  <si>
    <t>CAJA OCTAGONAL ASTM D-1784 NEMA TC-3</t>
  </si>
  <si>
    <t>CAJA SENC.4X2 ASTM D-1784 NEMA TC-3</t>
  </si>
  <si>
    <t>BROCHA 4" AZUL CEBRA</t>
  </si>
  <si>
    <t>BROCHA 2" AZUL CEBRA</t>
  </si>
  <si>
    <t>MAT-042</t>
  </si>
  <si>
    <t>MAT-043</t>
  </si>
  <si>
    <t>MAT-044</t>
  </si>
  <si>
    <t>MAT-045</t>
  </si>
  <si>
    <t>MAT-046</t>
  </si>
  <si>
    <t>MAT-047</t>
  </si>
  <si>
    <t>MAT-048</t>
  </si>
  <si>
    <t>MAT-049</t>
  </si>
  <si>
    <t>MAT-050</t>
  </si>
  <si>
    <t>MAT-051</t>
  </si>
  <si>
    <t>MAT-052</t>
  </si>
  <si>
    <t>MAT-053</t>
  </si>
  <si>
    <t>MAT-054</t>
  </si>
  <si>
    <t>MAT-055</t>
  </si>
  <si>
    <t>MAT-056</t>
  </si>
  <si>
    <t>MAT-057</t>
  </si>
  <si>
    <t>MAT-058</t>
  </si>
  <si>
    <t>MAT-059</t>
  </si>
  <si>
    <t>MAT-060</t>
  </si>
  <si>
    <t>N° Cuenta</t>
  </si>
  <si>
    <t>01080114161500001875</t>
  </si>
  <si>
    <t>Banco</t>
  </si>
  <si>
    <t>PROVINCIAL</t>
  </si>
  <si>
    <t>01370032060007146771</t>
  </si>
  <si>
    <t>SOFITASA</t>
  </si>
  <si>
    <t>01020744460000029010</t>
  </si>
  <si>
    <t>VENEZUELA</t>
  </si>
  <si>
    <t>01020744440000675312</t>
  </si>
  <si>
    <t>YONNI RODRIGUEZ</t>
  </si>
  <si>
    <t>01020744410000736659</t>
  </si>
  <si>
    <t>JAVIER BARAZARTE</t>
  </si>
  <si>
    <t>GABRIEL VERA</t>
  </si>
  <si>
    <t>RECOLECCION DE ESCOMBROS</t>
  </si>
  <si>
    <t>01080374860100057756</t>
  </si>
  <si>
    <t>01020859940000544540</t>
  </si>
  <si>
    <t>MELAMINA 2C COLOR 1.83X244X15MM (G)</t>
  </si>
  <si>
    <t>BISAGRA EMBUTIR CAZOLETA 35MM RECTA (G)</t>
  </si>
  <si>
    <t>TIRADOR ACERO HUECO 128MM (G)</t>
  </si>
  <si>
    <t>DRYWALL 1X6 - 1X7 - 1X8 (G)</t>
  </si>
  <si>
    <t>DRYWALL 2 1/2X6-X7- 2 1/2X8 - 2 1/2X10 (G)</t>
  </si>
  <si>
    <t>DRYWALL 2x6 - 2x7 - 2X8 - 2X10 (G)</t>
  </si>
  <si>
    <t>PEGA 43 GALON PEGA SOLD (G)</t>
  </si>
  <si>
    <t>FLEJE ANCHO COLOR (G)</t>
  </si>
  <si>
    <t>TABLA DE PINO 25X2.5X3.66 (G)</t>
  </si>
  <si>
    <t>BISAGRA GALVANIZADA 3 X 3 (G)</t>
  </si>
  <si>
    <t>TORNILLO MADERA C/PAN - C/PLANA (G)</t>
  </si>
  <si>
    <t>THINNER ACRILICO GALON (G)</t>
  </si>
  <si>
    <t>SELLADOR NITRO GALON QUIMIDAL (G)</t>
  </si>
  <si>
    <t>BARNIZ SEC. RAPIDO GALON PEGA SOLD (G)</t>
  </si>
  <si>
    <t>LIJA DE PLIEGO GRANO 80-240 (G)</t>
  </si>
  <si>
    <t>LIJA ROLLO 60CM 40/50/60/80 (G)</t>
  </si>
  <si>
    <t>CHAPILLA PARDILLO 15 X 2.70 (G)</t>
  </si>
  <si>
    <t>PEGA 236 1/4 PEGA SOLD (G)</t>
  </si>
  <si>
    <t>CLAVO C/C - S/C GRANEL (G)</t>
  </si>
  <si>
    <t>MECHA CONCRETO JORAN 9.5MM IRWIN (G)</t>
  </si>
  <si>
    <t>PUERTA OKUME 0.72X2.10 (G)</t>
  </si>
  <si>
    <t>PUERTA OKUME 0.82X2.10 (G)</t>
  </si>
  <si>
    <t>Precio Unitario Bs</t>
  </si>
  <si>
    <t>Tasa</t>
  </si>
  <si>
    <t>FERRETERIA SALVATORE</t>
  </si>
  <si>
    <t>Precio Total Bs</t>
  </si>
  <si>
    <t>Precio Total ($)</t>
  </si>
  <si>
    <t>CINCEL 4211226 PLANO DE 12"</t>
  </si>
  <si>
    <t>FONDO GRIS 1G P/HERR REINCO</t>
  </si>
  <si>
    <t>DISCO D/CORTE 4-1/2" P/MET EXTRAF 41-029</t>
  </si>
  <si>
    <t>JGO D/MECHA 5PZ P/CONCRE UTAC55055 TOTAL</t>
  </si>
  <si>
    <t>BISAGRA P/MADERA AMAR.76X76 3"</t>
  </si>
  <si>
    <t>CLAVOS 2-1/2 * 12 BOLSAS DE 1/2 KG</t>
  </si>
  <si>
    <t>CLAVOS 2 * 12 BOLSAS DE 1/2 KG</t>
  </si>
  <si>
    <t>CLAVOS 2 1/2 * 10 BOLSA DE 1/2 KG</t>
  </si>
  <si>
    <t>ELECTRODO 6013 3/32 1KG R-10 W.A.</t>
  </si>
  <si>
    <t>TABLAS</t>
  </si>
  <si>
    <t>TUBO PUL RECT. 2*1*0.90*6Mts</t>
  </si>
  <si>
    <t>ALAMBRON TREFILADO DE 8.0 mm *6MTRS</t>
  </si>
  <si>
    <t>CABILLA 100MM * 12 S-60</t>
  </si>
  <si>
    <t>MARCO P/PUERTA DE 15Cm * 0.90mm * 5.15M</t>
  </si>
  <si>
    <t>LAMINA HN RECORTADA 6MM 20*20 Cm</t>
  </si>
  <si>
    <t>GUANTES LONA D/ALGODÓN C/PUNTOS PVC</t>
  </si>
  <si>
    <t>LENTE DE SEGURIDAD TRANSP. MONTURA NEGRA</t>
  </si>
  <si>
    <t>GUANTE TEJIDO C/PEPITAS BLSNCO EXXEL</t>
  </si>
  <si>
    <t>TAPABOCA NEGRO KN 95</t>
  </si>
  <si>
    <t>MAT-061</t>
  </si>
  <si>
    <t>MAT-062</t>
  </si>
  <si>
    <t>MAT-063</t>
  </si>
  <si>
    <t>MAT-064</t>
  </si>
  <si>
    <t>MAT-065</t>
  </si>
  <si>
    <t>MAT-066</t>
  </si>
  <si>
    <t>MAT-067</t>
  </si>
  <si>
    <t>MAT-068</t>
  </si>
  <si>
    <t>MAT-069</t>
  </si>
  <si>
    <t>MAT-070</t>
  </si>
  <si>
    <t>MAT-071</t>
  </si>
  <si>
    <t>MAT-072</t>
  </si>
  <si>
    <t>MAT-073</t>
  </si>
  <si>
    <t>MAT-074</t>
  </si>
  <si>
    <t>MAT-075</t>
  </si>
  <si>
    <t>MAT-076</t>
  </si>
  <si>
    <t>MAT-077</t>
  </si>
  <si>
    <t>MAT-078</t>
  </si>
  <si>
    <t>MAT-079</t>
  </si>
  <si>
    <t>MAT-080</t>
  </si>
  <si>
    <t>MAT-081</t>
  </si>
  <si>
    <t>MAT-082</t>
  </si>
  <si>
    <t>MAT-083</t>
  </si>
  <si>
    <t>MAT-084</t>
  </si>
  <si>
    <t>MAT-085</t>
  </si>
  <si>
    <t>MAT-086</t>
  </si>
  <si>
    <t>MAT-087</t>
  </si>
  <si>
    <t>MAT-088</t>
  </si>
  <si>
    <t>MAT-089</t>
  </si>
  <si>
    <t>MAT-090</t>
  </si>
  <si>
    <t>MAT-091</t>
  </si>
  <si>
    <t>MAT-092</t>
  </si>
  <si>
    <t>MAT-093</t>
  </si>
  <si>
    <t>MAT-094</t>
  </si>
  <si>
    <t>MAT-095</t>
  </si>
  <si>
    <t>MAT-096</t>
  </si>
  <si>
    <t>MAT-097</t>
  </si>
  <si>
    <t>MAT-098</t>
  </si>
  <si>
    <t>MAT-099</t>
  </si>
  <si>
    <t>MAT-100</t>
  </si>
  <si>
    <t xml:space="preserve">TRONZADORA DEWALT </t>
  </si>
  <si>
    <t>DANIEL PEÑA</t>
  </si>
  <si>
    <t>MAT-101</t>
  </si>
  <si>
    <t>04120788608</t>
  </si>
  <si>
    <t>Pgo Movil</t>
  </si>
  <si>
    <t>02172569</t>
  </si>
  <si>
    <t>ALAMBRE GALV C-17.5 ROLLO 750gr ALMAGAL</t>
  </si>
  <si>
    <t>CLAVO ACERO ESTRIADO 21/2" 100GR</t>
  </si>
  <si>
    <t>00019510</t>
  </si>
  <si>
    <t>MAT-102</t>
  </si>
  <si>
    <t>MAT-103</t>
  </si>
  <si>
    <t>MAT-104</t>
  </si>
  <si>
    <t>JESUS ROJAS LOBO</t>
  </si>
  <si>
    <t>01020744440000265450</t>
  </si>
  <si>
    <t>EDIKSON PEÑA</t>
  </si>
  <si>
    <t>GUSTAVO QUINTERO</t>
  </si>
  <si>
    <t>01560019550201306672</t>
  </si>
  <si>
    <t>AULAS/BAÑOS</t>
  </si>
  <si>
    <t>EDIKSON PEÑA PEREZ</t>
  </si>
  <si>
    <t>01080345490100171135</t>
  </si>
  <si>
    <t>JOSÉ ALEXANDER GARCÍA PEREZ</t>
  </si>
  <si>
    <t>01020263960000099639</t>
  </si>
  <si>
    <t>ADMIN</t>
  </si>
  <si>
    <t>PROVEEDOR</t>
  </si>
  <si>
    <t>ROTO MARTILLO</t>
  </si>
  <si>
    <t>MAT-105</t>
  </si>
  <si>
    <t>MAT-106</t>
  </si>
  <si>
    <t>Desembolsado</t>
  </si>
  <si>
    <t>Total Desembolsado</t>
  </si>
  <si>
    <t>Aire acondicionado</t>
  </si>
  <si>
    <t>Audicon Consultores</t>
  </si>
  <si>
    <t>OFICINA</t>
  </si>
  <si>
    <t>Por desembolsar</t>
  </si>
  <si>
    <t>Monto Contrato</t>
  </si>
  <si>
    <t>Por cobrar</t>
  </si>
  <si>
    <t>Utilidad Bruta</t>
  </si>
  <si>
    <t>% Avance Facturado</t>
  </si>
  <si>
    <t>% Avance Cobrado</t>
  </si>
  <si>
    <t>Saldo por Ejecutar</t>
  </si>
  <si>
    <t>Obra</t>
  </si>
  <si>
    <t xml:space="preserve">FATIMA  </t>
  </si>
  <si>
    <t>CACUTE SUELOS CAFÉ</t>
  </si>
  <si>
    <t>CACUTE SUELOS GALPON</t>
  </si>
  <si>
    <t>ESTANCIA 2ET</t>
  </si>
  <si>
    <t>ESTANCIA ELECTRODOMESTICOS</t>
  </si>
  <si>
    <t>ESTANCIA LENCERIA</t>
  </si>
  <si>
    <t>SAN JUAN</t>
  </si>
  <si>
    <t>CONSOLIDADO OBRAS</t>
  </si>
  <si>
    <t>EJECUTADO</t>
  </si>
  <si>
    <t>DESEMBOLSADO</t>
  </si>
  <si>
    <t>FLUJO DE CAJA</t>
  </si>
  <si>
    <t>Estado</t>
  </si>
  <si>
    <t>CULMINADA</t>
  </si>
  <si>
    <t>ACTIVA</t>
  </si>
  <si>
    <t>Flujo de Caja2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</si>
</sst>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\$#,##0.00"/>
    <numFmt numFmtId="165" formatCode="0.0%"/>
    <numFmt numFmtId="166" formatCode="_-* #,##0.0_-;\-* #,##0.0_-;_-* &quot;-&quot;??_-;_-@_-"/>
    <numFmt numFmtId="167" formatCode="_-* #,##0_-;\-* #,##0_-;_-* &quot;-&quot;??_-;_-@_-"/>
    <numFmt numFmtId="168" formatCode="[$Bs.S-200A]#,##0.00"/>
  </numFmts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9"/>
      <color rgb="FF475569"/>
      <name val="Calibri"/>
      <family val="2"/>
    </font>
    <font>
      <b/>
      <sz val="16"/>
      <color rgb="FF1B365D"/>
      <name val="Calibri"/>
      <family val="2"/>
    </font>
    <font>
      <b/>
      <sz val="10"/>
      <color rgb="FFFFFFFF"/>
      <name val="Calibri"/>
      <family val="2"/>
    </font>
    <font>
      <sz val="10"/>
      <color rgb="FF1E293B"/>
      <name val="Calibri"/>
      <family val="2"/>
    </font>
    <font>
      <b/>
      <sz val="10"/>
      <color rgb="FF1E293B"/>
      <name val="Calibri"/>
      <family val="2"/>
    </font>
    <font>
      <b/>
      <sz val="11"/>
      <color rgb="FF1B365D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E293B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1F5F9"/>
        <bgColor rgb="FFF1F5F9"/>
      </patternFill>
    </fill>
    <fill>
      <patternFill patternType="solid">
        <fgColor rgb="FF335C67"/>
        <bgColor rgb="FF335C67"/>
      </patternFill>
    </fill>
    <fill>
      <patternFill patternType="solid">
        <fgColor rgb="FF92D050"/>
        <bgColor rgb="FF335C67"/>
      </patternFill>
    </fill>
  </fills>
  <borders count="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double">
        <color rgb="FF1B365D"/>
      </bottom>
      <diagonal/>
    </border>
    <border>
      <left style="thin">
        <color rgb="FFCBD5E1"/>
      </left>
      <right/>
      <top style="double">
        <color auto="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CBD5E1"/>
      </left>
      <right style="thin">
        <color rgb="FFCBD5E1"/>
      </right>
      <top style="thin">
        <color theme="0"/>
      </top>
      <bottom style="thin">
        <color rgb="FFCBD5E1"/>
      </bottom>
      <diagonal/>
    </border>
  </borders>
  <cellStyleXfs count="4">
    <xf numFmtId="0" fontId="0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80">
    <xf numFmtId="0" fontId="0" fillId="0" borderId="0" xfId="0"/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6" fillId="0" borderId="2" xfId="0" applyFont="1" applyBorder="1"/>
    <xf numFmtId="164" fontId="6" fillId="0" borderId="2" xfId="0" applyNumberFormat="1" applyFont="1" applyBorder="1"/>
    <xf numFmtId="165" fontId="6" fillId="0" borderId="2" xfId="0" applyNumberFormat="1" applyFont="1" applyBorder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0" fontId="7" fillId="0" borderId="1" xfId="0" applyFont="1" applyBorder="1"/>
    <xf numFmtId="0" fontId="0" fillId="0" borderId="2" xfId="0" applyBorder="1"/>
    <xf numFmtId="164" fontId="7" fillId="0" borderId="3" xfId="0" applyNumberFormat="1" applyFont="1" applyBorder="1"/>
    <xf numFmtId="44" fontId="0" fillId="0" borderId="0" xfId="1" applyFont="1"/>
    <xf numFmtId="44" fontId="0" fillId="0" borderId="0" xfId="0" applyNumberFormat="1"/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64" fontId="4" fillId="4" borderId="0" xfId="0" applyNumberFormat="1" applyFont="1" applyFill="1" applyAlignment="1">
      <alignment horizontal="center" vertical="center"/>
    </xf>
    <xf numFmtId="3" fontId="4" fillId="4" borderId="5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0" fillId="0" borderId="0" xfId="0" applyAlignment="1">
      <alignment horizontal="right"/>
    </xf>
    <xf numFmtId="164" fontId="10" fillId="0" borderId="2" xfId="0" applyNumberFormat="1" applyFont="1" applyBorder="1"/>
    <xf numFmtId="166" fontId="4" fillId="4" borderId="1" xfId="2" applyNumberFormat="1" applyFont="1" applyFill="1" applyBorder="1" applyAlignment="1">
      <alignment horizontal="center" vertical="center"/>
    </xf>
    <xf numFmtId="166" fontId="4" fillId="4" borderId="0" xfId="2" applyNumberFormat="1" applyFont="1" applyFill="1" applyAlignment="1">
      <alignment horizontal="center" vertical="center"/>
    </xf>
    <xf numFmtId="166" fontId="4" fillId="4" borderId="5" xfId="2" applyNumberFormat="1" applyFont="1" applyFill="1" applyBorder="1" applyAlignment="1">
      <alignment horizontal="center" vertical="center"/>
    </xf>
    <xf numFmtId="166" fontId="0" fillId="0" borderId="2" xfId="2" applyNumberFormat="1" applyFont="1" applyBorder="1"/>
    <xf numFmtId="166" fontId="0" fillId="0" borderId="0" xfId="2" applyNumberFormat="1" applyFont="1"/>
    <xf numFmtId="164" fontId="0" fillId="0" borderId="0" xfId="0" applyNumberFormat="1"/>
    <xf numFmtId="167" fontId="4" fillId="4" borderId="0" xfId="2" applyNumberFormat="1" applyFont="1" applyFill="1" applyAlignment="1">
      <alignment horizontal="center" vertical="center"/>
    </xf>
    <xf numFmtId="167" fontId="4" fillId="4" borderId="4" xfId="2" applyNumberFormat="1" applyFont="1" applyFill="1" applyBorder="1" applyAlignment="1">
      <alignment horizontal="center" vertical="center"/>
    </xf>
    <xf numFmtId="167" fontId="4" fillId="4" borderId="1" xfId="2" applyNumberFormat="1" applyFont="1" applyFill="1" applyBorder="1" applyAlignment="1">
      <alignment horizontal="center" vertical="center"/>
    </xf>
    <xf numFmtId="167" fontId="4" fillId="4" borderId="5" xfId="2" applyNumberFormat="1" applyFont="1" applyFill="1" applyBorder="1" applyAlignment="1">
      <alignment horizontal="center" vertical="center"/>
    </xf>
    <xf numFmtId="167" fontId="0" fillId="0" borderId="2" xfId="2" applyNumberFormat="1" applyFont="1" applyBorder="1" applyAlignment="1">
      <alignment horizontal="center"/>
    </xf>
    <xf numFmtId="167" fontId="0" fillId="0" borderId="0" xfId="2" applyNumberFormat="1" applyFont="1" applyAlignment="1">
      <alignment horizontal="center"/>
    </xf>
    <xf numFmtId="14" fontId="4" fillId="4" borderId="0" xfId="0" applyNumberFormat="1" applyFont="1" applyFill="1" applyAlignment="1">
      <alignment horizontal="center" vertical="center"/>
    </xf>
    <xf numFmtId="4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2" fontId="4" fillId="4" borderId="1" xfId="2" applyNumberFormat="1" applyFont="1" applyFill="1" applyBorder="1" applyAlignment="1">
      <alignment horizontal="center" vertical="center"/>
    </xf>
    <xf numFmtId="1" fontId="4" fillId="4" borderId="0" xfId="2" applyNumberFormat="1" applyFont="1" applyFill="1" applyAlignment="1">
      <alignment horizontal="center" vertical="center"/>
    </xf>
    <xf numFmtId="1" fontId="4" fillId="4" borderId="4" xfId="2" applyNumberFormat="1" applyFont="1" applyFill="1" applyBorder="1" applyAlignment="1">
      <alignment horizontal="center" vertical="center"/>
    </xf>
    <xf numFmtId="1" fontId="4" fillId="4" borderId="1" xfId="2" applyNumberFormat="1" applyFont="1" applyFill="1" applyBorder="1" applyAlignment="1">
      <alignment horizontal="center" vertical="center"/>
    </xf>
    <xf numFmtId="1" fontId="4" fillId="4" borderId="5" xfId="2" applyNumberFormat="1" applyFont="1" applyFill="1" applyBorder="1" applyAlignment="1">
      <alignment horizontal="center" vertical="center"/>
    </xf>
    <xf numFmtId="1" fontId="0" fillId="0" borderId="2" xfId="2" applyNumberFormat="1" applyFont="1" applyBorder="1" applyAlignment="1">
      <alignment horizontal="center"/>
    </xf>
    <xf numFmtId="1" fontId="0" fillId="0" borderId="0" xfId="2" applyNumberFormat="1" applyFont="1" applyAlignment="1">
      <alignment horizontal="center"/>
    </xf>
    <xf numFmtId="1" fontId="4" fillId="4" borderId="1" xfId="2" quotePrefix="1" applyNumberFormat="1" applyFont="1" applyFill="1" applyBorder="1" applyAlignment="1">
      <alignment horizontal="center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" xfId="2" applyNumberFormat="1" applyFont="1" applyFill="1" applyBorder="1" applyAlignment="1">
      <alignment horizontal="center" vertical="center"/>
    </xf>
    <xf numFmtId="168" fontId="4" fillId="4" borderId="0" xfId="2" applyNumberFormat="1" applyFont="1" applyFill="1" applyAlignment="1">
      <alignment horizontal="center" vertical="center"/>
    </xf>
    <xf numFmtId="168" fontId="4" fillId="4" borderId="5" xfId="2" applyNumberFormat="1" applyFont="1" applyFill="1" applyBorder="1" applyAlignment="1">
      <alignment horizontal="center" vertical="center"/>
    </xf>
    <xf numFmtId="168" fontId="0" fillId="0" borderId="2" xfId="0" applyNumberFormat="1" applyBorder="1"/>
    <xf numFmtId="168" fontId="0" fillId="0" borderId="0" xfId="0" applyNumberFormat="1"/>
    <xf numFmtId="0" fontId="4" fillId="4" borderId="1" xfId="0" quotePrefix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0" fillId="0" borderId="0" xfId="0" applyNumberFormat="1" applyAlignment="1">
      <alignment horizontal="left"/>
    </xf>
    <xf numFmtId="10" fontId="0" fillId="0" borderId="0" xfId="3" applyNumberFormat="1" applyFont="1" applyAlignment="1">
      <alignment horizontal="center"/>
    </xf>
    <xf numFmtId="10" fontId="0" fillId="0" borderId="0" xfId="3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64" fontId="12" fillId="0" borderId="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3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65" fontId="3" fillId="3" borderId="1" xfId="0" applyNumberFormat="1" applyFont="1" applyFill="1" applyBorder="1" applyAlignment="1">
      <alignment horizontal="center" vertical="center"/>
    </xf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numFmt numFmtId="166" formatCode="_-* #,##0.0_-;\-* #,##0.0_-;_-* &quot;-&quot;??_-;_-@_-"/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numFmt numFmtId="1" formatCode="0"/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numFmt numFmtId="1" formatCode="0"/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numFmt numFmtId="167" formatCode="_-* #,##0_-;\-* #,##0_-;_-* &quot;-&quot;??_-;_-@_-"/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numFmt numFmtId="168" formatCode="[$Bs.S-200A]#,##0.00"/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numFmt numFmtId="168" formatCode="[$Bs.S-200A]#,##0.00"/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rgb="FF335C67"/>
          <bgColor rgb="FF335C67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\$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293B"/>
        <name val="Calibri"/>
        <family val="2"/>
        <scheme val="none"/>
      </font>
      <numFmt numFmtId="164" formatCode="\$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CBD5E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Avance</a:t>
            </a:r>
            <a:r>
              <a:rPr lang="es-CO" baseline="0"/>
              <a:t> Financiero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Presupuestado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Dashboard!$A$12:$A$13</c:f>
              <c:strCache>
                <c:ptCount val="2"/>
                <c:pt idx="0">
                  <c:v>Materiales e Insumos</c:v>
                </c:pt>
                <c:pt idx="1">
                  <c:v>Mano de Obra (Obreros)</c:v>
                </c:pt>
              </c:strCache>
            </c:strRef>
          </c:cat>
          <c:val>
            <c:numRef>
              <c:f>Dashboard!$B$12:$B$13</c:f>
              <c:numCache>
                <c:formatCode>\$#,##0.00</c:formatCode>
                <c:ptCount val="2"/>
                <c:pt idx="0">
                  <c:v>33821.589999999997</c:v>
                </c:pt>
                <c:pt idx="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E-1443-A532-08FD121189EC}"/>
            </c:ext>
          </c:extLst>
        </c:ser>
        <c:ser>
          <c:idx val="1"/>
          <c:order val="1"/>
          <c:tx>
            <c:strRef>
              <c:f>Dashboard!$C$11</c:f>
              <c:strCache>
                <c:ptCount val="1"/>
                <c:pt idx="0">
                  <c:v>Ejecutado Real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Dashboard!$A$12:$A$13</c:f>
              <c:strCache>
                <c:ptCount val="2"/>
                <c:pt idx="0">
                  <c:v>Materiales e Insumos</c:v>
                </c:pt>
                <c:pt idx="1">
                  <c:v>Mano de Obra (Obreros)</c:v>
                </c:pt>
              </c:strCache>
            </c:strRef>
          </c:cat>
          <c:val>
            <c:numRef>
              <c:f>Dashboard!$C$12:$C$13</c:f>
              <c:numCache>
                <c:formatCode>\$#,##0.00</c:formatCode>
                <c:ptCount val="2"/>
                <c:pt idx="0">
                  <c:v>17239.126381865146</c:v>
                </c:pt>
                <c:pt idx="1">
                  <c:v>4544.8999999999996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E-1443-A532-08FD121189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Avance</a:t>
            </a:r>
            <a:r>
              <a:rPr lang="es-CO" baseline="0"/>
              <a:t> financiero Abonado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Presupuestado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Dashboard!$A$17:$A$18</c:f>
              <c:strCache>
                <c:ptCount val="2"/>
                <c:pt idx="0">
                  <c:v>Materiales e Insumos</c:v>
                </c:pt>
                <c:pt idx="1">
                  <c:v>Mano de Obra (Obreros)</c:v>
                </c:pt>
              </c:strCache>
            </c:strRef>
          </c:cat>
          <c:val>
            <c:numRef>
              <c:f>Dashboard!$B$17:$B$18</c:f>
              <c:numCache>
                <c:formatCode>\$#,##0.00</c:formatCode>
                <c:ptCount val="2"/>
                <c:pt idx="0">
                  <c:v>23203.73</c:v>
                </c:pt>
                <c:pt idx="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A-492D-A5AA-247EC90434F1}"/>
            </c:ext>
          </c:extLst>
        </c:ser>
        <c:ser>
          <c:idx val="1"/>
          <c:order val="1"/>
          <c:tx>
            <c:strRef>
              <c:f>Dashboard!$C$16</c:f>
              <c:strCache>
                <c:ptCount val="1"/>
                <c:pt idx="0">
                  <c:v>Ejecutado Real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Dashboard!$A$17:$A$18</c:f>
              <c:strCache>
                <c:ptCount val="2"/>
                <c:pt idx="0">
                  <c:v>Materiales e Insumos</c:v>
                </c:pt>
                <c:pt idx="1">
                  <c:v>Mano de Obra (Obreros)</c:v>
                </c:pt>
              </c:strCache>
            </c:strRef>
          </c:cat>
          <c:val>
            <c:numRef>
              <c:f>Dashboard!$C$17:$C$18</c:f>
              <c:numCache>
                <c:formatCode>\$#,##0.00</c:formatCode>
                <c:ptCount val="2"/>
                <c:pt idx="0">
                  <c:v>17239.126381865146</c:v>
                </c:pt>
                <c:pt idx="1">
                  <c:v>4544.8999999999996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A-492D-A5AA-247EC90434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6265680"/>
        <c:axId val="616260688"/>
      </c:barChart>
      <c:catAx>
        <c:axId val="61626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16260688"/>
        <c:crosses val="autoZero"/>
        <c:auto val="1"/>
        <c:lblAlgn val="ctr"/>
        <c:lblOffset val="100"/>
        <c:noMultiLvlLbl val="0"/>
      </c:catAx>
      <c:valAx>
        <c:axId val="6162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61626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762001</xdr:colOff>
      <xdr:row>24</xdr:row>
      <xdr:rowOff>119062</xdr:rowOff>
    </xdr:from>
    <xdr:ext cx="7369968" cy="35163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238125</xdr:colOff>
      <xdr:row>24</xdr:row>
      <xdr:rowOff>134540</xdr:rowOff>
    </xdr:from>
    <xdr:to>
      <xdr:col>3</xdr:col>
      <xdr:colOff>595312</xdr:colOff>
      <xdr:row>43</xdr:row>
      <xdr:rowOff>11906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03B750-1591-491F-A12C-87BC8BDEB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619127</xdr:colOff>
      <xdr:row>21</xdr:row>
      <xdr:rowOff>95250</xdr:rowOff>
    </xdr:from>
    <xdr:to>
      <xdr:col>2</xdr:col>
      <xdr:colOff>2726533</xdr:colOff>
      <xdr:row>21</xdr:row>
      <xdr:rowOff>95250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6C5D59F1-DF40-41EA-80A1-72C9D05B8763}"/>
            </a:ext>
          </a:extLst>
        </xdr:cNvPr>
        <xdr:cNvCxnSpPr/>
      </xdr:nvCxnSpPr>
      <xdr:spPr>
        <a:xfrm flipH="1">
          <a:off x="5155408" y="4143375"/>
          <a:ext cx="2107406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616737</xdr:colOff>
      <xdr:row>20</xdr:row>
      <xdr:rowOff>116680</xdr:rowOff>
    </xdr:from>
    <xdr:to>
      <xdr:col>2</xdr:col>
      <xdr:colOff>2724143</xdr:colOff>
      <xdr:row>20</xdr:row>
      <xdr:rowOff>116680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32B0C2AA-D153-4273-9E4C-94D50C457AAC}"/>
            </a:ext>
          </a:extLst>
        </xdr:cNvPr>
        <xdr:cNvCxnSpPr/>
      </xdr:nvCxnSpPr>
      <xdr:spPr>
        <a:xfrm flipH="1">
          <a:off x="5153018" y="3962399"/>
          <a:ext cx="2107406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%20I5/Dropbox/Macroandes/Inversora%20Macroandes/Control%20Ob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el_de_Control"/>
      <sheetName val="Registro_Transacciones"/>
      <sheetName val="Por pagar"/>
      <sheetName val="Configuracion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05E51-A356-4DF4-A8E3-9FB386CF607D}" name="Tabla1" displayName="Tabla1" ref="A1:L9" totalsRowShown="0" headerRowDxfId="53" dataDxfId="52">
  <autoFilter ref="A1:L9" xr:uid="{A4D9C4A4-4BEE-43F7-B482-6B69DD695700}"/>
  <tableColumns count="12">
    <tableColumn id="1" xr3:uid="{9639892B-B05F-4273-A2D0-0F26C4BDA78B}" name="Obra" dataDxfId="51"/>
    <tableColumn id="2" xr3:uid="{E24FABEC-6585-475F-BD45-D7E037225687}" name="Monto Contrato" dataDxfId="50"/>
    <tableColumn id="3" xr3:uid="{59352CEA-A0C7-4891-8730-9739502D15D6}" name="EJECUTADO" dataDxfId="49"/>
    <tableColumn id="4" xr3:uid="{4D528DAA-1E81-4553-8223-9B69EF0E3B7B}" name="DESEMBOLSADO" dataDxfId="48"/>
    <tableColumn id="5" xr3:uid="{18FC4046-0DCE-4C45-8BF6-56269B2E56F6}" name="FLUJO DE CAJA" dataDxfId="47">
      <calculatedColumnFormula>D2-C2</calculatedColumnFormula>
    </tableColumn>
    <tableColumn id="6" xr3:uid="{899F9DB9-CF23-4328-AFEE-25EC12A8B325}" name="Por cobrar" dataDxfId="46">
      <calculatedColumnFormula>B2-D2</calculatedColumnFormula>
    </tableColumn>
    <tableColumn id="7" xr3:uid="{B77ECBA9-3527-4393-B393-7789EFC2DE7E}" name="Utilidad Bruta" dataDxfId="45">
      <calculatedColumnFormula>C2-E2</calculatedColumnFormula>
    </tableColumn>
    <tableColumn id="8" xr3:uid="{D9267B23-8841-4BA0-9258-A82B5D1E3C15}" name="Flujo de Caja2" dataDxfId="44">
      <calculatedColumnFormula>E2</calculatedColumnFormula>
    </tableColumn>
    <tableColumn id="9" xr3:uid="{5216BE03-89CB-4506-AD80-2A2BC0249463}" name="% Avance Facturado" dataDxfId="43" dataCellStyle="Porcentaje">
      <calculatedColumnFormula>C2/B2</calculatedColumnFormula>
    </tableColumn>
    <tableColumn id="10" xr3:uid="{B3979176-8352-4A1E-8E53-38F1851C0B62}" name="% Avance Cobrado" dataDxfId="42" dataCellStyle="Porcentaje">
      <calculatedColumnFormula>D2/B2</calculatedColumnFormula>
    </tableColumn>
    <tableColumn id="11" xr3:uid="{94A9DD3A-AA85-4291-8F0F-8D0CF97A777A}" name="Saldo por Ejecutar" dataDxfId="41">
      <calculatedColumnFormula>B2-C2</calculatedColumnFormula>
    </tableColumn>
    <tableColumn id="12" xr3:uid="{7A3B3339-89C3-4CDF-9786-F758C4867EFC}" name="Estado" dataDxfId="4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F6BECB-7179-4C82-ADFD-3F088CF2F13E}" name="Tabla6" displayName="Tabla6" ref="A4:E10" insertRowShift="1" totalsRowShown="0" headerRowDxfId="39" dataDxfId="38">
  <autoFilter ref="A4:E10" xr:uid="{8ABC211C-7D80-490C-9B76-89253396DB9F}"/>
  <tableColumns count="5">
    <tableColumn id="1" xr3:uid="{84E4A345-4F70-4242-AEBF-DEFE862C7201}" name="Item" dataDxfId="37"/>
    <tableColumn id="2" xr3:uid="{2764A18A-9183-4772-8CF7-B73D203823AA}" name="Descripción de Partida" dataDxfId="36"/>
    <tableColumn id="3" xr3:uid="{862DB45F-14BD-479A-A469-1805C47768C4}" name="Unidad" dataDxfId="35"/>
    <tableColumn id="4" xr3:uid="{3D7A14B7-3496-46E7-91C0-3D3429704BE1}" name="Cantidad" dataDxfId="34"/>
    <tableColumn id="5" xr3:uid="{E49A0B03-5910-4839-A117-212DE1184427}" name="Costo Total Presupuestado ($)" dataDxfId="3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BD0D97-159B-4352-8764-5DB39DBC8043}" name="Tabla4" displayName="Tabla4" ref="A4:M119" insertRowShift="1" totalsRowShown="0" headerRowDxfId="32" dataDxfId="31" tableBorderDxfId="30">
  <autoFilter ref="A4:M119" xr:uid="{C3432B77-315D-40F3-A17B-615A4A292D9C}"/>
  <tableColumns count="13">
    <tableColumn id="1" xr3:uid="{51E61233-9233-43B7-BB64-29A901BAEA30}" name="ID Compra" dataDxfId="29"/>
    <tableColumn id="2" xr3:uid="{9C29F3DD-7251-4C67-BC5D-7306B08C10A3}" name="Fecha" dataDxfId="28"/>
    <tableColumn id="3" xr3:uid="{C03286CD-E636-4F93-B5BB-FD2EF9316000}" name="Proveedor" dataDxfId="27"/>
    <tableColumn id="4" xr3:uid="{C3E7CDCA-7AC6-4AF8-A142-431E93F82507}" name="N° Factura" dataDxfId="26"/>
    <tableColumn id="5" xr3:uid="{1C36C9FC-DD95-4DD5-BF63-11F86DA703F7}" name="Descripción del Material" dataDxfId="25"/>
    <tableColumn id="10" xr3:uid="{BF187DCE-C330-4566-80EA-1C65219FCD24}" name="Proyecto" dataDxfId="24"/>
    <tableColumn id="6" xr3:uid="{07AC7C56-D870-42C9-A2B1-62222E777EAC}" name="Cantidad" dataDxfId="23"/>
    <tableColumn id="11" xr3:uid="{37E43724-D57F-4009-AFAE-310807BA6141}" name="Precio Unitario Bs" dataDxfId="22" dataCellStyle="Millares"/>
    <tableColumn id="13" xr3:uid="{20E3667F-97A8-40CB-9D83-5580EEF43828}" name="Precio Total Bs" dataDxfId="21" dataCellStyle="Millares">
      <calculatedColumnFormula>Tabla4[[#This Row],[Cantidad]]*Tabla4[[#This Row],[Precio Unitario Bs]]</calculatedColumnFormula>
    </tableColumn>
    <tableColumn id="12" xr3:uid="{4F7720D4-B9D1-4D0E-B98C-1D2DF82D3219}" name="Tasa" dataDxfId="20"/>
    <tableColumn id="7" xr3:uid="{121DB662-44AD-4135-8A9A-13D6E424C364}" name="Precio Unitario ($)" dataDxfId="19"/>
    <tableColumn id="8" xr3:uid="{C8E4D933-4F1F-49BC-8EE3-2244B02AB1BB}" name="Precio Total ($)" dataDxfId="18"/>
    <tableColumn id="9" xr3:uid="{91480AE5-00CF-4555-9CD6-E1FBDFDC6A12}" name="Estado / Observación" dataDxfId="1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237523-723C-417F-A723-6C941585734B}" name="Tabla5" displayName="Tabla5" ref="A4:N46" insertRowShift="1" totalsRowShown="0" headerRowDxfId="16" dataDxfId="15" tableBorderDxfId="14">
  <autoFilter ref="A4:N46" xr:uid="{EA34636B-E6DC-4743-A5C0-1FA27FABC114}"/>
  <tableColumns count="14">
    <tableColumn id="1" xr3:uid="{BBAF9CF5-2C57-497C-ADCC-BC3BCE11CE82}" name="N° Sem" dataDxfId="13"/>
    <tableColumn id="12" xr3:uid="{60AD9872-1C78-49BE-BE30-236230C9FAFB}" name="Inicio labor" dataDxfId="12"/>
    <tableColumn id="2" xr3:uid="{B6A1A3AE-C552-4972-B3CF-C312F8E83741}" name="Fecha Pago" dataDxfId="11"/>
    <tableColumn id="3" xr3:uid="{403A8C63-508B-46D2-AF7D-E343A87090BC}" name="Nombre del Trabajador" dataDxfId="10"/>
    <tableColumn id="11" xr3:uid="{E332BA78-D135-4112-89B9-EE8E17A08EDA}" name="CI" dataDxfId="9" dataCellStyle="Millares"/>
    <tableColumn id="13" xr3:uid="{926F1834-F424-44C6-815B-F614EC784ECB}" name="N° Cuenta" dataDxfId="8" dataCellStyle="Millares"/>
    <tableColumn id="14" xr3:uid="{21A18727-7773-4BC6-9C1B-288F81640406}" name="Banco" dataDxfId="7" dataCellStyle="Millares"/>
    <tableColumn id="4" xr3:uid="{97A20550-620F-4113-9F6C-9583687D28BA}" name="Cargo / Rol" dataDxfId="6"/>
    <tableColumn id="5" xr3:uid="{C4861E6E-432A-479E-B56C-C8DDC5439D01}" name="Días Trabajados" dataDxfId="5" dataCellStyle="Millares"/>
    <tableColumn id="6" xr3:uid="{D8A42229-F2C3-45EB-AA32-B6A5645D3970}" name="Pago Diario ($)" dataDxfId="4"/>
    <tableColumn id="7" xr3:uid="{ECD689E9-2C20-47A1-AAE6-3C4B456C6E73}" name="Bonificación ($)" dataDxfId="3"/>
    <tableColumn id="8" xr3:uid="{B708F2B1-6B11-4DD2-BD9A-DFF48B584291}" name="Deducciones ($)" dataDxfId="2"/>
    <tableColumn id="9" xr3:uid="{CF88BABA-BA05-4A83-A637-4B472029040F}" name="Total Pagado ($)" dataDxfId="1"/>
    <tableColumn id="10" xr3:uid="{8B29990E-C3AB-45EA-9AE7-197947CFEB49}" name="Notas / Frente de Trabaj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E136-486C-4EB9-920D-6287CDC3043B}">
  <dimension ref="A1:L9"/>
  <sheetViews>
    <sheetView tabSelected="1" zoomScale="88" zoomScaleNormal="88" workbookViewId="0">
      <selection activeCell="A8" sqref="A8:XFD8"/>
    </sheetView>
  </sheetViews>
  <sheetFormatPr baseColWidth="10" defaultRowHeight="15" x14ac:dyDescent="0.25"/>
  <cols>
    <col min="1" max="1" width="29.85546875" style="32" bestFit="1" customWidth="1"/>
    <col min="2" max="2" width="17.7109375" style="32" customWidth="1"/>
    <col min="3" max="3" width="29.7109375" style="32" bestFit="1" customWidth="1"/>
    <col min="4" max="4" width="33.42578125" style="32" bestFit="1" customWidth="1"/>
    <col min="5" max="5" width="19.28515625" style="32" bestFit="1" customWidth="1"/>
    <col min="6" max="6" width="12.5703125" style="32" customWidth="1"/>
    <col min="7" max="7" width="15.42578125" style="32" customWidth="1"/>
    <col min="8" max="8" width="12.28515625" style="32" hidden="1" customWidth="1"/>
    <col min="9" max="9" width="20.7109375" style="32" customWidth="1"/>
    <col min="10" max="10" width="19.42578125" style="69" customWidth="1"/>
    <col min="11" max="11" width="22.28515625" bestFit="1" customWidth="1"/>
    <col min="12" max="12" width="11.85546875" bestFit="1" customWidth="1"/>
  </cols>
  <sheetData>
    <row r="1" spans="1:12" x14ac:dyDescent="0.25">
      <c r="A1" s="32" t="s">
        <v>333</v>
      </c>
      <c r="B1" s="32" t="s">
        <v>327</v>
      </c>
      <c r="C1" s="32" t="s">
        <v>342</v>
      </c>
      <c r="D1" s="32" t="s">
        <v>343</v>
      </c>
      <c r="E1" s="32" t="s">
        <v>344</v>
      </c>
      <c r="F1" s="32" t="s">
        <v>328</v>
      </c>
      <c r="G1" s="32" t="s">
        <v>329</v>
      </c>
      <c r="H1" s="32" t="s">
        <v>348</v>
      </c>
      <c r="I1" s="32" t="s">
        <v>330</v>
      </c>
      <c r="J1" s="70" t="s">
        <v>331</v>
      </c>
      <c r="K1" s="32" t="s">
        <v>332</v>
      </c>
      <c r="L1" s="32" t="s">
        <v>345</v>
      </c>
    </row>
    <row r="2" spans="1:12" x14ac:dyDescent="0.25">
      <c r="A2" s="71" t="s">
        <v>334</v>
      </c>
      <c r="B2" s="73">
        <f>[1]!Panel_Control[[#This Row],[Monto del Contrato]]</f>
        <v>38605.82</v>
      </c>
      <c r="C2" s="73">
        <f>[1]!Panel_Control[[#This Row],[Total Ejecutado]]</f>
        <v>29154.799999999996</v>
      </c>
      <c r="D2" s="73">
        <f>[1]!Panel_Control[[#This Row],[Total Ingresos]]</f>
        <v>38605.82</v>
      </c>
      <c r="E2" s="73">
        <f t="shared" ref="E2:E8" si="0">D2-C2</f>
        <v>9451.0200000000041</v>
      </c>
      <c r="F2" s="73">
        <f t="shared" ref="F2:G4" si="1">B2-D2</f>
        <v>0</v>
      </c>
      <c r="G2" s="73">
        <f t="shared" si="1"/>
        <v>19703.779999999992</v>
      </c>
      <c r="H2" s="72">
        <f t="shared" ref="H2:H8" si="2">E2</f>
        <v>9451.0200000000041</v>
      </c>
      <c r="I2" s="70">
        <f t="shared" ref="I2:I8" si="3">C2/B2</f>
        <v>0.75519183377014132</v>
      </c>
      <c r="J2" s="70">
        <f t="shared" ref="J2:J8" si="4">D2/B2</f>
        <v>1</v>
      </c>
      <c r="K2" s="73">
        <f t="shared" ref="K2:K8" si="5">B2-C2</f>
        <v>9451.0200000000041</v>
      </c>
      <c r="L2" t="s">
        <v>346</v>
      </c>
    </row>
    <row r="3" spans="1:12" x14ac:dyDescent="0.25">
      <c r="A3" s="71" t="s">
        <v>335</v>
      </c>
      <c r="B3" s="73">
        <f>[1]!Panel_Control[[#This Row],[Monto del Contrato]]</f>
        <v>580</v>
      </c>
      <c r="C3" s="73">
        <f>[1]!Panel_Control[[#This Row],[Total Ejecutado]]</f>
        <v>315</v>
      </c>
      <c r="D3" s="73">
        <f>[1]!Panel_Control[[#This Row],[Total Ingresos]]</f>
        <v>406</v>
      </c>
      <c r="E3" s="73">
        <f t="shared" si="0"/>
        <v>91</v>
      </c>
      <c r="F3" s="73">
        <f t="shared" si="1"/>
        <v>174</v>
      </c>
      <c r="G3" s="73">
        <f t="shared" si="1"/>
        <v>224</v>
      </c>
      <c r="H3" s="72">
        <f t="shared" si="2"/>
        <v>91</v>
      </c>
      <c r="I3" s="70">
        <f t="shared" si="3"/>
        <v>0.5431034482758621</v>
      </c>
      <c r="J3" s="70">
        <f t="shared" si="4"/>
        <v>0.7</v>
      </c>
      <c r="K3" s="73">
        <f t="shared" si="5"/>
        <v>265</v>
      </c>
      <c r="L3" t="s">
        <v>347</v>
      </c>
    </row>
    <row r="4" spans="1:12" x14ac:dyDescent="0.25">
      <c r="A4" s="71" t="s">
        <v>336</v>
      </c>
      <c r="B4" s="73">
        <f>[1]!Panel_Control[[#This Row],[Monto del Contrato]]</f>
        <v>580</v>
      </c>
      <c r="C4" s="73">
        <f>[1]!Panel_Control[[#This Row],[Total Ejecutado]]</f>
        <v>315</v>
      </c>
      <c r="D4" s="73">
        <f>[1]!Panel_Control[[#This Row],[Total Ingresos]]</f>
        <v>406</v>
      </c>
      <c r="E4" s="73">
        <f t="shared" si="0"/>
        <v>91</v>
      </c>
      <c r="F4" s="73">
        <f t="shared" si="1"/>
        <v>174</v>
      </c>
      <c r="G4" s="73">
        <f t="shared" si="1"/>
        <v>224</v>
      </c>
      <c r="H4" s="72">
        <f t="shared" si="2"/>
        <v>91</v>
      </c>
      <c r="I4" s="70">
        <f t="shared" si="3"/>
        <v>0.5431034482758621</v>
      </c>
      <c r="J4" s="70">
        <f t="shared" si="4"/>
        <v>0.7</v>
      </c>
      <c r="K4" s="73">
        <f t="shared" si="5"/>
        <v>265</v>
      </c>
      <c r="L4" t="s">
        <v>347</v>
      </c>
    </row>
    <row r="5" spans="1:12" x14ac:dyDescent="0.25">
      <c r="A5" s="71" t="s">
        <v>337</v>
      </c>
      <c r="B5" s="73">
        <f>[1]!Panel_Control[[#This Row],[Monto del Contrato]]</f>
        <v>10524</v>
      </c>
      <c r="C5" s="73">
        <f>[1]!Panel_Control[[#This Row],[Total Ejecutado]]</f>
        <v>3236.5699999999997</v>
      </c>
      <c r="D5" s="73">
        <f>[1]!Panel_Control[[#This Row],[Total Ingresos]]</f>
        <v>6314</v>
      </c>
      <c r="E5" s="73">
        <f t="shared" si="0"/>
        <v>3077.4300000000003</v>
      </c>
      <c r="F5" s="73">
        <f t="shared" ref="F5:F8" si="6">B5-D5</f>
        <v>4210</v>
      </c>
      <c r="G5" s="73">
        <f t="shared" ref="G5:G8" si="7">C5-E5</f>
        <v>159.13999999999942</v>
      </c>
      <c r="H5" s="72">
        <f t="shared" si="2"/>
        <v>3077.4300000000003</v>
      </c>
      <c r="I5" s="70">
        <f t="shared" si="3"/>
        <v>0.30754180919802354</v>
      </c>
      <c r="J5" s="70">
        <f t="shared" si="4"/>
        <v>0.59996199163816044</v>
      </c>
      <c r="K5" s="73">
        <f t="shared" si="5"/>
        <v>7287.43</v>
      </c>
      <c r="L5" t="s">
        <v>347</v>
      </c>
    </row>
    <row r="6" spans="1:12" x14ac:dyDescent="0.25">
      <c r="A6" s="71" t="s">
        <v>338</v>
      </c>
      <c r="B6" s="73">
        <f>[1]!Panel_Control[[#This Row],[Monto del Contrato]]</f>
        <v>5525</v>
      </c>
      <c r="C6" s="73">
        <f>[1]!Panel_Control[[#This Row],[Total Ejecutado]]</f>
        <v>276.25</v>
      </c>
      <c r="D6" s="73">
        <f>[1]!Panel_Control[[#This Row],[Total Ingresos]]</f>
        <v>5525</v>
      </c>
      <c r="E6" s="73">
        <f t="shared" si="0"/>
        <v>5248.75</v>
      </c>
      <c r="F6" s="73">
        <f t="shared" si="6"/>
        <v>0</v>
      </c>
      <c r="G6" s="73">
        <f t="shared" si="7"/>
        <v>-4972.5</v>
      </c>
      <c r="H6" s="72">
        <f t="shared" si="2"/>
        <v>5248.75</v>
      </c>
      <c r="I6" s="70">
        <f t="shared" si="3"/>
        <v>0.05</v>
      </c>
      <c r="J6" s="70">
        <f t="shared" si="4"/>
        <v>1</v>
      </c>
      <c r="K6" s="73">
        <f t="shared" si="5"/>
        <v>5248.75</v>
      </c>
      <c r="L6" t="s">
        <v>347</v>
      </c>
    </row>
    <row r="7" spans="1:12" x14ac:dyDescent="0.25">
      <c r="A7" s="71" t="s">
        <v>339</v>
      </c>
      <c r="B7" s="73">
        <f>[1]!Panel_Control[[#This Row],[Monto del Contrato]]</f>
        <v>1743.75</v>
      </c>
      <c r="C7" s="73">
        <f>[1]!Panel_Control[[#This Row],[Total Ejecutado]]</f>
        <v>87.18</v>
      </c>
      <c r="D7" s="73">
        <f>[1]!Panel_Control[[#This Row],[Total Ingresos]]</f>
        <v>1743.75</v>
      </c>
      <c r="E7" s="73">
        <f t="shared" si="0"/>
        <v>1656.57</v>
      </c>
      <c r="F7" s="73">
        <f t="shared" si="6"/>
        <v>0</v>
      </c>
      <c r="G7" s="73">
        <f t="shared" si="7"/>
        <v>-1569.3899999999999</v>
      </c>
      <c r="H7" s="72">
        <f t="shared" si="2"/>
        <v>1656.57</v>
      </c>
      <c r="I7" s="70">
        <f t="shared" si="3"/>
        <v>4.9995698924731186E-2</v>
      </c>
      <c r="J7" s="70">
        <f t="shared" si="4"/>
        <v>1</v>
      </c>
      <c r="K7" s="73">
        <f t="shared" si="5"/>
        <v>1656.57</v>
      </c>
      <c r="L7" t="s">
        <v>347</v>
      </c>
    </row>
    <row r="8" spans="1:12" x14ac:dyDescent="0.25">
      <c r="A8" s="71" t="s">
        <v>340</v>
      </c>
      <c r="B8" s="73">
        <f>[1]!Panel_Control[[#This Row],[Monto del Contrato]]</f>
        <v>8484.7900000000009</v>
      </c>
      <c r="C8" s="73">
        <f>[1]!Panel_Control[[#This Row],[Total Ejecutado]]</f>
        <v>4512.2900000000009</v>
      </c>
      <c r="D8" s="73">
        <f>[1]!Panel_Control[[#This Row],[Total Ingresos]]</f>
        <v>5094</v>
      </c>
      <c r="E8" s="73">
        <f t="shared" si="0"/>
        <v>581.70999999999913</v>
      </c>
      <c r="F8" s="73">
        <f t="shared" si="6"/>
        <v>3390.7900000000009</v>
      </c>
      <c r="G8" s="73">
        <f t="shared" si="7"/>
        <v>3930.5800000000017</v>
      </c>
      <c r="H8" s="72">
        <f t="shared" si="2"/>
        <v>581.70999999999913</v>
      </c>
      <c r="I8" s="70">
        <f t="shared" si="3"/>
        <v>0.53180927282820201</v>
      </c>
      <c r="J8" s="70">
        <f t="shared" si="4"/>
        <v>0.60036842396806511</v>
      </c>
      <c r="K8" s="73">
        <f t="shared" si="5"/>
        <v>3972.5</v>
      </c>
      <c r="L8" t="s">
        <v>347</v>
      </c>
    </row>
    <row r="9" spans="1:12" x14ac:dyDescent="0.25">
      <c r="A9" s="71" t="s">
        <v>341</v>
      </c>
      <c r="B9" s="73">
        <f>SUM(B2:B8)</f>
        <v>66043.360000000001</v>
      </c>
      <c r="C9" s="73">
        <f>SUM(C2:C8)</f>
        <v>37897.089999999997</v>
      </c>
      <c r="D9" s="73">
        <f>SUM(D2:D8)</f>
        <v>58094.57</v>
      </c>
      <c r="E9" s="73">
        <f t="shared" ref="E9" si="8">D9-C9</f>
        <v>20197.480000000003</v>
      </c>
      <c r="F9" s="73">
        <f t="shared" ref="F9" si="9">B9-D9</f>
        <v>7948.7900000000009</v>
      </c>
      <c r="G9" s="73">
        <f t="shared" ref="G9" si="10">C9-E9</f>
        <v>17699.609999999993</v>
      </c>
      <c r="H9" s="72">
        <f t="shared" ref="H9" si="11">E9</f>
        <v>20197.480000000003</v>
      </c>
      <c r="I9" s="70">
        <f t="shared" ref="I9" si="12">C9/B9</f>
        <v>0.57382135009484669</v>
      </c>
      <c r="J9" s="70">
        <f t="shared" ref="J9" si="13">D9/B9</f>
        <v>0.87964285887332205</v>
      </c>
      <c r="K9" s="73">
        <f t="shared" ref="K9" si="14">B9-C9</f>
        <v>28146.270000000004</v>
      </c>
      <c r="L9" t="s">
        <v>347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80" zoomScaleNormal="80" workbookViewId="0">
      <selection activeCell="B24" sqref="B24"/>
    </sheetView>
  </sheetViews>
  <sheetFormatPr baseColWidth="10" defaultColWidth="9.140625" defaultRowHeight="15" x14ac:dyDescent="0.25"/>
  <cols>
    <col min="1" max="1" width="47" customWidth="1"/>
    <col min="2" max="2" width="21" customWidth="1"/>
    <col min="3" max="3" width="44" customWidth="1"/>
    <col min="4" max="4" width="25" customWidth="1"/>
    <col min="5" max="5" width="20" customWidth="1"/>
    <col min="6" max="6" width="12" customWidth="1"/>
    <col min="7" max="7" width="26" customWidth="1"/>
    <col min="8" max="9" width="12" customWidth="1"/>
  </cols>
  <sheetData>
    <row r="1" spans="1:9" x14ac:dyDescent="0.25">
      <c r="A1" s="77" t="s">
        <v>132</v>
      </c>
      <c r="B1" s="78"/>
      <c r="C1" s="78"/>
      <c r="D1" s="78"/>
      <c r="E1" s="78"/>
      <c r="F1" s="78"/>
      <c r="G1" s="78"/>
      <c r="H1" s="78"/>
      <c r="I1" s="78"/>
    </row>
    <row r="2" spans="1:9" x14ac:dyDescent="0.25">
      <c r="A2" s="78"/>
      <c r="B2" s="78"/>
      <c r="C2" s="78"/>
      <c r="D2" s="78"/>
      <c r="E2" s="78"/>
      <c r="F2" s="78"/>
      <c r="G2" s="78"/>
      <c r="H2" s="78"/>
      <c r="I2" s="78"/>
    </row>
    <row r="4" spans="1:9" x14ac:dyDescent="0.25">
      <c r="A4" s="74" t="s">
        <v>0</v>
      </c>
      <c r="B4" s="75"/>
      <c r="C4" s="74" t="s">
        <v>1</v>
      </c>
      <c r="D4" s="75"/>
      <c r="E4" s="74" t="s">
        <v>2</v>
      </c>
      <c r="F4" s="75"/>
      <c r="G4" s="74" t="s">
        <v>3</v>
      </c>
      <c r="H4" s="75"/>
    </row>
    <row r="5" spans="1:9" x14ac:dyDescent="0.25">
      <c r="A5" s="76">
        <f>Presupuesto!E11</f>
        <v>43821.59</v>
      </c>
      <c r="B5" s="75"/>
      <c r="C5" s="76">
        <f>Compras_Materiales!L120+Pago_Obreros!M47</f>
        <v>21784.026381865144</v>
      </c>
      <c r="D5" s="75"/>
      <c r="E5" s="76">
        <f>A5-C5</f>
        <v>22037.563618134853</v>
      </c>
      <c r="F5" s="75"/>
      <c r="G5" s="79">
        <f>C5/A5</f>
        <v>0.49710716525496096</v>
      </c>
      <c r="H5" s="75"/>
    </row>
    <row r="6" spans="1:9" x14ac:dyDescent="0.25">
      <c r="A6" s="75"/>
      <c r="B6" s="75"/>
      <c r="C6" s="75"/>
      <c r="D6" s="75"/>
      <c r="E6" s="75"/>
      <c r="F6" s="75"/>
      <c r="G6" s="75"/>
      <c r="H6" s="75"/>
    </row>
    <row r="7" spans="1:9" x14ac:dyDescent="0.25">
      <c r="A7" s="74" t="s">
        <v>153</v>
      </c>
      <c r="B7" s="75"/>
      <c r="C7" s="74" t="s">
        <v>1</v>
      </c>
      <c r="D7" s="75"/>
      <c r="E7" s="74" t="s">
        <v>2</v>
      </c>
      <c r="F7" s="75"/>
      <c r="G7" s="74" t="s">
        <v>3</v>
      </c>
      <c r="H7" s="75"/>
    </row>
    <row r="8" spans="1:9" ht="15" customHeight="1" x14ac:dyDescent="0.25">
      <c r="A8" s="76">
        <f>B23</f>
        <v>33203.99</v>
      </c>
      <c r="B8" s="75"/>
      <c r="C8" s="76">
        <f>C14</f>
        <v>21784.026381865144</v>
      </c>
      <c r="D8" s="75"/>
      <c r="E8" s="76">
        <f>A8-C8</f>
        <v>11419.963618134854</v>
      </c>
      <c r="F8" s="75"/>
      <c r="G8" s="79">
        <f>C8/A8</f>
        <v>0.65606652639833785</v>
      </c>
      <c r="H8" s="75"/>
    </row>
    <row r="9" spans="1:9" x14ac:dyDescent="0.25">
      <c r="A9" s="75"/>
      <c r="B9" s="75"/>
      <c r="C9" s="75"/>
      <c r="D9" s="75"/>
      <c r="E9" s="75"/>
      <c r="F9" s="75"/>
      <c r="G9" s="75"/>
      <c r="H9" s="75"/>
    </row>
    <row r="11" spans="1:9" x14ac:dyDescent="0.25">
      <c r="A11" s="1" t="s">
        <v>4</v>
      </c>
      <c r="B11" s="1" t="s">
        <v>5</v>
      </c>
      <c r="C11" s="1" t="s">
        <v>6</v>
      </c>
      <c r="D11" s="1" t="s">
        <v>7</v>
      </c>
      <c r="E11" s="1" t="s">
        <v>8</v>
      </c>
    </row>
    <row r="12" spans="1:9" x14ac:dyDescent="0.25">
      <c r="A12" s="2" t="s">
        <v>9</v>
      </c>
      <c r="B12" s="3">
        <f>Presupuesto!E7</f>
        <v>33821.589999999997</v>
      </c>
      <c r="C12" s="3">
        <f>Compras_Materiales!L120</f>
        <v>17239.126381865146</v>
      </c>
      <c r="D12" s="3">
        <f>B12-C12</f>
        <v>16582.463618134851</v>
      </c>
      <c r="E12" s="4">
        <f>C12/B12</f>
        <v>0.50970774531490526</v>
      </c>
    </row>
    <row r="13" spans="1:9" x14ac:dyDescent="0.25">
      <c r="A13" s="2" t="s">
        <v>10</v>
      </c>
      <c r="B13" s="3">
        <f>Presupuesto!E10</f>
        <v>10000</v>
      </c>
      <c r="C13" s="3">
        <f>Pago_Obreros!M47</f>
        <v>4544.8999999999996</v>
      </c>
      <c r="D13" s="3">
        <f>B13-C13</f>
        <v>5455.1</v>
      </c>
      <c r="E13" s="4">
        <f>C13/B13</f>
        <v>0.45448999999999995</v>
      </c>
    </row>
    <row r="14" spans="1:9" x14ac:dyDescent="0.25">
      <c r="A14" s="5" t="s">
        <v>11</v>
      </c>
      <c r="B14" s="6">
        <f>SUM(B12:B13)</f>
        <v>43821.59</v>
      </c>
      <c r="C14" s="6">
        <f>SUM(C12:C13)</f>
        <v>21784.026381865144</v>
      </c>
      <c r="D14" s="6">
        <f>SUM(D12:D13)</f>
        <v>22037.563618134853</v>
      </c>
      <c r="E14" s="7">
        <f>C14/B14</f>
        <v>0.49710716525496096</v>
      </c>
    </row>
    <row r="15" spans="1:9" ht="15.75" thickTop="1" x14ac:dyDescent="0.25"/>
    <row r="16" spans="1:9" x14ac:dyDescent="0.25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</row>
    <row r="17" spans="1:5" x14ac:dyDescent="0.25">
      <c r="A17" s="2" t="s">
        <v>9</v>
      </c>
      <c r="B17" s="3">
        <v>23203.73</v>
      </c>
      <c r="C17" s="3">
        <f>C12</f>
        <v>17239.126381865146</v>
      </c>
      <c r="D17" s="3">
        <f>B17-C17</f>
        <v>5964.6036181348536</v>
      </c>
      <c r="E17" s="4">
        <f>C17/B17</f>
        <v>0.74294634448276831</v>
      </c>
    </row>
    <row r="18" spans="1:5" x14ac:dyDescent="0.25">
      <c r="A18" s="2" t="s">
        <v>10</v>
      </c>
      <c r="B18" s="3">
        <v>10000</v>
      </c>
      <c r="C18" s="3">
        <f>C13</f>
        <v>4544.8999999999996</v>
      </c>
      <c r="D18" s="3">
        <f>B18-C18</f>
        <v>5455.1</v>
      </c>
      <c r="E18" s="4">
        <f>C18/B18</f>
        <v>0.45448999999999995</v>
      </c>
    </row>
    <row r="19" spans="1:5" ht="15.75" thickBot="1" x14ac:dyDescent="0.3">
      <c r="A19" s="5" t="s">
        <v>11</v>
      </c>
      <c r="B19" s="6">
        <f>SUM(B17:B18)</f>
        <v>33203.729999999996</v>
      </c>
      <c r="C19" s="6">
        <f>SUM(C17:C18)</f>
        <v>21784.026381865144</v>
      </c>
      <c r="D19" s="6">
        <f>SUM(D17:D18)</f>
        <v>11419.703618134854</v>
      </c>
      <c r="E19" s="7">
        <f>C19/B19</f>
        <v>0.65607166369155356</v>
      </c>
    </row>
    <row r="20" spans="1:5" ht="15.75" thickTop="1" x14ac:dyDescent="0.25"/>
    <row r="21" spans="1:5" ht="15.75" thickBot="1" x14ac:dyDescent="0.3">
      <c r="A21" s="34" t="s">
        <v>321</v>
      </c>
      <c r="B21" s="6">
        <v>22586.39</v>
      </c>
      <c r="C21" s="68">
        <v>1</v>
      </c>
      <c r="D21" s="6">
        <v>22586.39</v>
      </c>
      <c r="E21" t="s">
        <v>83</v>
      </c>
    </row>
    <row r="22" spans="1:5" ht="16.5" thickTop="1" thickBot="1" x14ac:dyDescent="0.3">
      <c r="A22" s="34" t="s">
        <v>321</v>
      </c>
      <c r="B22" s="6">
        <v>10617.6</v>
      </c>
      <c r="C22" s="68">
        <v>0.5</v>
      </c>
      <c r="D22" s="6">
        <v>21235.200000000001</v>
      </c>
      <c r="E22" t="s">
        <v>97</v>
      </c>
    </row>
    <row r="23" spans="1:5" ht="16.5" thickTop="1" thickBot="1" x14ac:dyDescent="0.3">
      <c r="A23" s="34" t="s">
        <v>322</v>
      </c>
      <c r="B23" s="6">
        <f>B21+B22</f>
        <v>33203.99</v>
      </c>
      <c r="D23" s="6">
        <f>D21+D22</f>
        <v>43821.59</v>
      </c>
    </row>
    <row r="24" spans="1:5" ht="16.5" thickTop="1" thickBot="1" x14ac:dyDescent="0.3">
      <c r="A24" s="34" t="s">
        <v>326</v>
      </c>
      <c r="B24" s="35">
        <f>B23-B14</f>
        <v>-10617.599999999999</v>
      </c>
    </row>
  </sheetData>
  <mergeCells count="17">
    <mergeCell ref="A7:B7"/>
    <mergeCell ref="C7:D7"/>
    <mergeCell ref="E7:F7"/>
    <mergeCell ref="G7:H7"/>
    <mergeCell ref="A8:B9"/>
    <mergeCell ref="C8:D9"/>
    <mergeCell ref="E8:F9"/>
    <mergeCell ref="G8:H9"/>
    <mergeCell ref="A4:B4"/>
    <mergeCell ref="G4:H4"/>
    <mergeCell ref="E4:F4"/>
    <mergeCell ref="C5:D6"/>
    <mergeCell ref="A1:I2"/>
    <mergeCell ref="A5:B6"/>
    <mergeCell ref="E5:F6"/>
    <mergeCell ref="G5:H6"/>
    <mergeCell ref="C4:D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12" customWidth="1"/>
    <col min="2" max="2" width="38" customWidth="1"/>
    <col min="3" max="3" width="12" customWidth="1"/>
    <col min="4" max="4" width="12.42578125" bestFit="1" customWidth="1"/>
    <col min="5" max="5" width="33" customWidth="1"/>
  </cols>
  <sheetData>
    <row r="1" spans="1:5" x14ac:dyDescent="0.25">
      <c r="A1" s="77" t="s">
        <v>12</v>
      </c>
      <c r="B1" s="78"/>
      <c r="C1" s="78"/>
      <c r="D1" s="78"/>
      <c r="E1" s="78"/>
    </row>
    <row r="2" spans="1:5" x14ac:dyDescent="0.25">
      <c r="A2" s="78"/>
      <c r="B2" s="78"/>
      <c r="C2" s="78"/>
      <c r="D2" s="78"/>
      <c r="E2" s="78"/>
    </row>
    <row r="4" spans="1:5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x14ac:dyDescent="0.25">
      <c r="A5" s="1" t="s">
        <v>18</v>
      </c>
      <c r="B5" s="1" t="s">
        <v>19</v>
      </c>
      <c r="C5" s="1"/>
      <c r="D5" s="1"/>
      <c r="E5" s="1"/>
    </row>
    <row r="6" spans="1:5" x14ac:dyDescent="0.25">
      <c r="A6" s="16" t="s">
        <v>20</v>
      </c>
      <c r="B6" s="16" t="s">
        <v>73</v>
      </c>
      <c r="C6" s="16"/>
      <c r="D6" s="19"/>
      <c r="E6" s="21">
        <v>33821.589999999997</v>
      </c>
    </row>
    <row r="7" spans="1:5" x14ac:dyDescent="0.25">
      <c r="A7" s="1" t="s">
        <v>21</v>
      </c>
      <c r="B7" s="1" t="s">
        <v>69</v>
      </c>
      <c r="C7" s="1"/>
      <c r="D7" s="1"/>
      <c r="E7" s="29">
        <f>SUM(E6:E6)</f>
        <v>33821.589999999997</v>
      </c>
    </row>
    <row r="8" spans="1:5" x14ac:dyDescent="0.25">
      <c r="A8" s="1" t="s">
        <v>22</v>
      </c>
      <c r="B8" s="1" t="s">
        <v>70</v>
      </c>
      <c r="C8" s="1"/>
      <c r="D8" s="1"/>
      <c r="E8" s="1"/>
    </row>
    <row r="9" spans="1:5" x14ac:dyDescent="0.25">
      <c r="A9" s="1" t="s">
        <v>23</v>
      </c>
      <c r="B9" s="1" t="s">
        <v>71</v>
      </c>
      <c r="C9" s="16" t="s">
        <v>123</v>
      </c>
      <c r="D9" s="19">
        <v>6</v>
      </c>
      <c r="E9" s="29">
        <v>10000</v>
      </c>
    </row>
    <row r="10" spans="1:5" ht="15.75" thickBot="1" x14ac:dyDescent="0.3">
      <c r="A10" s="1" t="s">
        <v>21</v>
      </c>
      <c r="B10" s="22" t="s">
        <v>72</v>
      </c>
      <c r="C10" s="22"/>
      <c r="D10" s="30"/>
      <c r="E10" s="29">
        <f>E9</f>
        <v>10000</v>
      </c>
    </row>
    <row r="11" spans="1:5" ht="15.75" thickTop="1" x14ac:dyDescent="0.25">
      <c r="A11" s="8"/>
      <c r="B11" s="10" t="s">
        <v>24</v>
      </c>
      <c r="C11" s="8"/>
      <c r="D11" s="9"/>
      <c r="E11" s="12">
        <f>E7+E10</f>
        <v>43821.59</v>
      </c>
    </row>
  </sheetData>
  <mergeCells count="1">
    <mergeCell ref="A1:E2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4"/>
  <sheetViews>
    <sheetView topLeftCell="D1" zoomScale="80" zoomScaleNormal="80" workbookViewId="0">
      <selection activeCell="K7" sqref="K7"/>
    </sheetView>
  </sheetViews>
  <sheetFormatPr baseColWidth="10" defaultColWidth="9.140625" defaultRowHeight="15" x14ac:dyDescent="0.25"/>
  <cols>
    <col min="1" max="1" width="15.42578125" customWidth="1"/>
    <col min="2" max="2" width="14" customWidth="1"/>
    <col min="3" max="3" width="34.85546875" bestFit="1" customWidth="1"/>
    <col min="4" max="4" width="15.28515625" bestFit="1" customWidth="1"/>
    <col min="5" max="5" width="49.7109375" style="28" customWidth="1"/>
    <col min="6" max="6" width="14.42578125" style="32" bestFit="1" customWidth="1"/>
    <col min="7" max="7" width="14.28515625" bestFit="1" customWidth="1"/>
    <col min="8" max="8" width="23" style="64" customWidth="1"/>
    <col min="9" max="9" width="20.7109375" customWidth="1"/>
    <col min="10" max="10" width="28" customWidth="1"/>
    <col min="11" max="11" width="24" customWidth="1"/>
    <col min="12" max="12" width="19.28515625" bestFit="1" customWidth="1"/>
  </cols>
  <sheetData>
    <row r="1" spans="1:13" x14ac:dyDescent="0.25">
      <c r="A1" s="77" t="s">
        <v>25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3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</row>
    <row r="4" spans="1:13" x14ac:dyDescent="0.25">
      <c r="A4" s="1" t="s">
        <v>26</v>
      </c>
      <c r="B4" s="1" t="s">
        <v>27</v>
      </c>
      <c r="C4" s="1" t="s">
        <v>28</v>
      </c>
      <c r="D4" s="1" t="s">
        <v>29</v>
      </c>
      <c r="E4" s="24" t="s">
        <v>30</v>
      </c>
      <c r="F4" s="1" t="s">
        <v>94</v>
      </c>
      <c r="G4" s="1" t="s">
        <v>16</v>
      </c>
      <c r="H4" s="59" t="s">
        <v>230</v>
      </c>
      <c r="I4" s="59" t="s">
        <v>233</v>
      </c>
      <c r="J4" s="1" t="s">
        <v>231</v>
      </c>
      <c r="K4" s="1" t="s">
        <v>31</v>
      </c>
      <c r="L4" s="1" t="s">
        <v>234</v>
      </c>
      <c r="M4" s="1" t="s">
        <v>32</v>
      </c>
    </row>
    <row r="5" spans="1:13" x14ac:dyDescent="0.25">
      <c r="A5" s="1"/>
      <c r="B5" s="1"/>
      <c r="C5" s="1"/>
      <c r="D5" s="1"/>
      <c r="E5" s="24" t="s">
        <v>323</v>
      </c>
      <c r="F5" s="16" t="s">
        <v>325</v>
      </c>
      <c r="G5" s="1">
        <v>1</v>
      </c>
      <c r="H5" s="60"/>
      <c r="I5" s="60">
        <f>Tabla4[[#This Row],[Cantidad]]*Tabla4[[#This Row],[Precio Unitario Bs]]</f>
        <v>0</v>
      </c>
      <c r="J5" s="16"/>
      <c r="K5" s="21">
        <v>270</v>
      </c>
      <c r="L5" s="21">
        <f t="shared" ref="L5:L6" si="0">G5*K5</f>
        <v>270</v>
      </c>
      <c r="M5" s="1"/>
    </row>
    <row r="6" spans="1:13" x14ac:dyDescent="0.25">
      <c r="A6" s="1"/>
      <c r="B6" s="1"/>
      <c r="C6" s="1"/>
      <c r="D6" s="1"/>
      <c r="E6" s="24" t="s">
        <v>324</v>
      </c>
      <c r="F6" s="15" t="s">
        <v>95</v>
      </c>
      <c r="G6" s="1">
        <v>1</v>
      </c>
      <c r="H6" s="60"/>
      <c r="I6" s="60">
        <f>Tabla4[[#This Row],[Cantidad]]*Tabla4[[#This Row],[Precio Unitario Bs]]</f>
        <v>0</v>
      </c>
      <c r="J6" s="16"/>
      <c r="K6" s="21">
        <v>726</v>
      </c>
      <c r="L6" s="21">
        <f t="shared" si="0"/>
        <v>726</v>
      </c>
      <c r="M6" s="1"/>
    </row>
    <row r="7" spans="1:13" x14ac:dyDescent="0.25">
      <c r="A7" s="15" t="s">
        <v>33</v>
      </c>
      <c r="B7" s="18">
        <v>46233</v>
      </c>
      <c r="C7" s="16" t="s">
        <v>90</v>
      </c>
      <c r="D7" s="16">
        <v>7992</v>
      </c>
      <c r="E7" s="25" t="s">
        <v>85</v>
      </c>
      <c r="F7" s="15" t="s">
        <v>95</v>
      </c>
      <c r="G7" s="19">
        <v>2</v>
      </c>
      <c r="H7" s="60"/>
      <c r="I7" s="60">
        <f>Tabla4[[#This Row],[Cantidad]]*Tabla4[[#This Row],[Precio Unitario Bs]]</f>
        <v>0</v>
      </c>
      <c r="J7" s="19"/>
      <c r="K7" s="21">
        <v>125.7</v>
      </c>
      <c r="L7" s="21">
        <f>G7*K7</f>
        <v>251.4</v>
      </c>
      <c r="M7" s="16" t="s">
        <v>34</v>
      </c>
    </row>
    <row r="8" spans="1:13" x14ac:dyDescent="0.25">
      <c r="A8" s="15" t="s">
        <v>35</v>
      </c>
      <c r="B8" s="18">
        <v>46233</v>
      </c>
      <c r="C8" s="16" t="s">
        <v>90</v>
      </c>
      <c r="D8" s="16">
        <v>7992</v>
      </c>
      <c r="E8" s="25" t="s">
        <v>86</v>
      </c>
      <c r="F8" s="15" t="s">
        <v>95</v>
      </c>
      <c r="G8" s="19">
        <v>1</v>
      </c>
      <c r="H8" s="60"/>
      <c r="I8" s="60">
        <f>Tabla4[[#This Row],[Cantidad]]*Tabla4[[#This Row],[Precio Unitario Bs]]</f>
        <v>0</v>
      </c>
      <c r="J8" s="19"/>
      <c r="K8" s="21">
        <v>72.150000000000006</v>
      </c>
      <c r="L8" s="21">
        <f t="shared" ref="L8:L36" si="1">G8*K8</f>
        <v>72.150000000000006</v>
      </c>
      <c r="M8" s="16" t="s">
        <v>34</v>
      </c>
    </row>
    <row r="9" spans="1:13" x14ac:dyDescent="0.25">
      <c r="A9" s="15" t="s">
        <v>36</v>
      </c>
      <c r="B9" s="18">
        <v>46233</v>
      </c>
      <c r="C9" s="16" t="s">
        <v>90</v>
      </c>
      <c r="D9" s="16">
        <v>7992</v>
      </c>
      <c r="E9" s="25" t="s">
        <v>87</v>
      </c>
      <c r="F9" s="15" t="s">
        <v>95</v>
      </c>
      <c r="G9" s="19">
        <v>1</v>
      </c>
      <c r="H9" s="60"/>
      <c r="I9" s="60">
        <f>Tabla4[[#This Row],[Cantidad]]*Tabla4[[#This Row],[Precio Unitario Bs]]</f>
        <v>0</v>
      </c>
      <c r="J9" s="19"/>
      <c r="K9" s="21">
        <v>29.44</v>
      </c>
      <c r="L9" s="21">
        <f t="shared" si="1"/>
        <v>29.44</v>
      </c>
      <c r="M9" s="16" t="s">
        <v>34</v>
      </c>
    </row>
    <row r="10" spans="1:13" x14ac:dyDescent="0.25">
      <c r="A10" s="15" t="s">
        <v>37</v>
      </c>
      <c r="B10" s="18">
        <v>46233</v>
      </c>
      <c r="C10" s="16" t="s">
        <v>90</v>
      </c>
      <c r="D10" s="16">
        <v>7992</v>
      </c>
      <c r="E10" s="25" t="s">
        <v>74</v>
      </c>
      <c r="F10" s="15" t="s">
        <v>95</v>
      </c>
      <c r="G10" s="19">
        <v>1</v>
      </c>
      <c r="H10" s="60"/>
      <c r="I10" s="60">
        <f>Tabla4[[#This Row],[Cantidad]]*Tabla4[[#This Row],[Precio Unitario Bs]]</f>
        <v>0</v>
      </c>
      <c r="J10" s="19"/>
      <c r="K10" s="21">
        <v>36.369999999999997</v>
      </c>
      <c r="L10" s="21">
        <f t="shared" si="1"/>
        <v>36.369999999999997</v>
      </c>
      <c r="M10" s="16" t="s">
        <v>34</v>
      </c>
    </row>
    <row r="11" spans="1:13" x14ac:dyDescent="0.25">
      <c r="A11" s="15" t="s">
        <v>38</v>
      </c>
      <c r="B11" s="18">
        <v>46233</v>
      </c>
      <c r="C11" s="16" t="s">
        <v>90</v>
      </c>
      <c r="D11" s="16">
        <v>11476</v>
      </c>
      <c r="E11" s="25" t="s">
        <v>88</v>
      </c>
      <c r="F11" s="15" t="s">
        <v>95</v>
      </c>
      <c r="G11" s="19">
        <v>1</v>
      </c>
      <c r="H11" s="60"/>
      <c r="I11" s="60">
        <f>Tabla4[[#This Row],[Cantidad]]*Tabla4[[#This Row],[Precio Unitario Bs]]</f>
        <v>0</v>
      </c>
      <c r="J11" s="19"/>
      <c r="K11" s="21">
        <v>72.150000000000006</v>
      </c>
      <c r="L11" s="21">
        <f t="shared" si="1"/>
        <v>72.150000000000006</v>
      </c>
      <c r="M11" s="16" t="s">
        <v>34</v>
      </c>
    </row>
    <row r="12" spans="1:13" x14ac:dyDescent="0.25">
      <c r="A12" s="15" t="s">
        <v>39</v>
      </c>
      <c r="B12" s="18">
        <v>46233</v>
      </c>
      <c r="C12" s="16" t="s">
        <v>90</v>
      </c>
      <c r="D12" s="16">
        <v>11476</v>
      </c>
      <c r="E12" s="25" t="s">
        <v>74</v>
      </c>
      <c r="F12" s="15" t="s">
        <v>95</v>
      </c>
      <c r="G12" s="16">
        <v>1</v>
      </c>
      <c r="H12" s="60"/>
      <c r="I12" s="60">
        <f>Tabla4[[#This Row],[Cantidad]]*Tabla4[[#This Row],[Precio Unitario Bs]]</f>
        <v>0</v>
      </c>
      <c r="J12" s="16"/>
      <c r="K12" s="21">
        <v>11.54</v>
      </c>
      <c r="L12" s="21">
        <f t="shared" si="1"/>
        <v>11.54</v>
      </c>
      <c r="M12" s="16" t="s">
        <v>34</v>
      </c>
    </row>
    <row r="13" spans="1:13" x14ac:dyDescent="0.25">
      <c r="A13" s="15" t="s">
        <v>40</v>
      </c>
      <c r="B13" s="48">
        <v>46204</v>
      </c>
      <c r="C13" s="1" t="s">
        <v>89</v>
      </c>
      <c r="D13" s="1">
        <v>1771545</v>
      </c>
      <c r="E13" s="24" t="s">
        <v>158</v>
      </c>
      <c r="F13" s="15" t="s">
        <v>95</v>
      </c>
      <c r="G13" s="1">
        <v>1</v>
      </c>
      <c r="H13" s="61"/>
      <c r="I13" s="61">
        <f>Tabla4[[#This Row],[Cantidad]]*Tabla4[[#This Row],[Precio Unitario Bs]]</f>
        <v>0</v>
      </c>
      <c r="J13" s="1"/>
      <c r="K13" s="21">
        <v>15.458312684997923</v>
      </c>
      <c r="L13" s="21">
        <f t="shared" si="1"/>
        <v>15.458312684997923</v>
      </c>
      <c r="M13" s="16"/>
    </row>
    <row r="14" spans="1:13" x14ac:dyDescent="0.25">
      <c r="A14" s="15" t="s">
        <v>41</v>
      </c>
      <c r="B14" s="48">
        <v>46204</v>
      </c>
      <c r="C14" s="1" t="s">
        <v>89</v>
      </c>
      <c r="D14" s="1">
        <v>1771545</v>
      </c>
      <c r="E14" s="24" t="s">
        <v>159</v>
      </c>
      <c r="F14" s="15" t="s">
        <v>95</v>
      </c>
      <c r="G14" s="1">
        <v>10</v>
      </c>
      <c r="H14" s="61"/>
      <c r="I14" s="61">
        <f>Tabla4[[#This Row],[Cantidad]]*Tabla4[[#This Row],[Precio Unitario Bs]]</f>
        <v>0</v>
      </c>
      <c r="J14" s="1"/>
      <c r="K14" s="21">
        <v>6.1049917629883614</v>
      </c>
      <c r="L14" s="21">
        <f t="shared" si="1"/>
        <v>61.049917629883616</v>
      </c>
      <c r="M14" s="16"/>
    </row>
    <row r="15" spans="1:13" x14ac:dyDescent="0.25">
      <c r="A15" s="15" t="s">
        <v>42</v>
      </c>
      <c r="B15" s="48">
        <v>46204</v>
      </c>
      <c r="C15" s="1" t="s">
        <v>89</v>
      </c>
      <c r="D15" s="1">
        <v>1771545</v>
      </c>
      <c r="E15" s="24" t="s">
        <v>160</v>
      </c>
      <c r="F15" s="15" t="s">
        <v>95</v>
      </c>
      <c r="G15" s="1">
        <v>110</v>
      </c>
      <c r="H15" s="61"/>
      <c r="I15" s="61">
        <f>Tabla4[[#This Row],[Cantidad]]*Tabla4[[#This Row],[Precio Unitario Bs]]</f>
        <v>0</v>
      </c>
      <c r="J15" s="1"/>
      <c r="K15" s="21">
        <v>13.746474157213079</v>
      </c>
      <c r="L15" s="21">
        <f t="shared" si="1"/>
        <v>1512.1121572934387</v>
      </c>
      <c r="M15" s="16"/>
    </row>
    <row r="16" spans="1:13" x14ac:dyDescent="0.25">
      <c r="A16" s="15" t="s">
        <v>43</v>
      </c>
      <c r="B16" s="48">
        <v>46204</v>
      </c>
      <c r="C16" s="1" t="s">
        <v>89</v>
      </c>
      <c r="D16" s="1">
        <v>1771545</v>
      </c>
      <c r="E16" s="24" t="s">
        <v>161</v>
      </c>
      <c r="F16" s="15" t="s">
        <v>95</v>
      </c>
      <c r="G16" s="1">
        <v>1020</v>
      </c>
      <c r="H16" s="61"/>
      <c r="I16" s="61">
        <f>Tabla4[[#This Row],[Cantidad]]*Tabla4[[#This Row],[Precio Unitario Bs]]</f>
        <v>0</v>
      </c>
      <c r="J16" s="1"/>
      <c r="K16" s="21">
        <v>0.87398041868127452</v>
      </c>
      <c r="L16" s="21">
        <f t="shared" si="1"/>
        <v>891.46002705490002</v>
      </c>
      <c r="M16" s="16"/>
    </row>
    <row r="17" spans="1:13" x14ac:dyDescent="0.25">
      <c r="A17" s="15" t="s">
        <v>44</v>
      </c>
      <c r="B17" s="48">
        <v>46204</v>
      </c>
      <c r="C17" s="1" t="s">
        <v>89</v>
      </c>
      <c r="D17" s="1">
        <v>1771545</v>
      </c>
      <c r="E17" s="25" t="s">
        <v>162</v>
      </c>
      <c r="F17" s="15" t="s">
        <v>95</v>
      </c>
      <c r="G17" s="16">
        <v>1</v>
      </c>
      <c r="H17" s="60"/>
      <c r="I17" s="60">
        <f>Tabla4[[#This Row],[Cantidad]]*Tabla4[[#This Row],[Precio Unitario Bs]]</f>
        <v>0</v>
      </c>
      <c r="J17" s="16"/>
      <c r="K17" s="21">
        <v>6.4955198692792946</v>
      </c>
      <c r="L17" s="21">
        <f t="shared" si="1"/>
        <v>6.4955198692792946</v>
      </c>
      <c r="M17" s="16"/>
    </row>
    <row r="18" spans="1:13" x14ac:dyDescent="0.25">
      <c r="A18" s="15" t="s">
        <v>45</v>
      </c>
      <c r="B18" s="48">
        <v>46204</v>
      </c>
      <c r="C18" s="1" t="s">
        <v>89</v>
      </c>
      <c r="D18" s="1">
        <v>1771545</v>
      </c>
      <c r="E18" s="25" t="s">
        <v>163</v>
      </c>
      <c r="F18" s="15" t="s">
        <v>95</v>
      </c>
      <c r="G18" s="16">
        <v>8</v>
      </c>
      <c r="H18" s="60"/>
      <c r="I18" s="60">
        <f>Tabla4[[#This Row],[Cantidad]]*Tabla4[[#This Row],[Precio Unitario Bs]]</f>
        <v>0</v>
      </c>
      <c r="J18" s="16"/>
      <c r="K18" s="21">
        <v>15.319984463522763</v>
      </c>
      <c r="L18" s="21">
        <f t="shared" si="1"/>
        <v>122.5598757081821</v>
      </c>
      <c r="M18" s="16"/>
    </row>
    <row r="19" spans="1:13" x14ac:dyDescent="0.25">
      <c r="A19" s="15" t="s">
        <v>46</v>
      </c>
      <c r="B19" s="48">
        <v>46204</v>
      </c>
      <c r="C19" s="1" t="s">
        <v>89</v>
      </c>
      <c r="D19" s="1">
        <v>1771545</v>
      </c>
      <c r="E19" s="25" t="s">
        <v>164</v>
      </c>
      <c r="F19" s="15" t="s">
        <v>95</v>
      </c>
      <c r="G19" s="16">
        <v>2</v>
      </c>
      <c r="H19" s="60"/>
      <c r="I19" s="60">
        <f>Tabla4[[#This Row],[Cantidad]]*Tabla4[[#This Row],[Precio Unitario Bs]]</f>
        <v>0</v>
      </c>
      <c r="J19" s="16"/>
      <c r="K19" s="21">
        <v>16.362816924045376</v>
      </c>
      <c r="L19" s="21">
        <f t="shared" si="1"/>
        <v>32.725633848090752</v>
      </c>
      <c r="M19" s="16"/>
    </row>
    <row r="20" spans="1:13" x14ac:dyDescent="0.25">
      <c r="A20" s="15" t="s">
        <v>47</v>
      </c>
      <c r="B20" s="48">
        <v>46204</v>
      </c>
      <c r="C20" s="1" t="s">
        <v>89</v>
      </c>
      <c r="D20" s="1">
        <v>1771545</v>
      </c>
      <c r="E20" s="25" t="s">
        <v>165</v>
      </c>
      <c r="F20" s="15" t="s">
        <v>95</v>
      </c>
      <c r="G20" s="16">
        <v>2</v>
      </c>
      <c r="H20" s="60"/>
      <c r="I20" s="60">
        <f>Tabla4[[#This Row],[Cantidad]]*Tabla4[[#This Row],[Precio Unitario Bs]]</f>
        <v>0</v>
      </c>
      <c r="J20" s="16"/>
      <c r="K20" s="21">
        <v>8.5268874810816602</v>
      </c>
      <c r="L20" s="21">
        <f t="shared" si="1"/>
        <v>17.05377496216332</v>
      </c>
      <c r="M20" s="16"/>
    </row>
    <row r="21" spans="1:13" x14ac:dyDescent="0.25">
      <c r="A21" s="15" t="s">
        <v>48</v>
      </c>
      <c r="B21" s="48">
        <v>46204</v>
      </c>
      <c r="C21" s="1" t="s">
        <v>89</v>
      </c>
      <c r="D21" s="1">
        <v>1771545</v>
      </c>
      <c r="E21" s="25" t="s">
        <v>166</v>
      </c>
      <c r="F21" s="15" t="s">
        <v>95</v>
      </c>
      <c r="G21" s="16">
        <v>2</v>
      </c>
      <c r="H21" s="60"/>
      <c r="I21" s="60">
        <f>Tabla4[[#This Row],[Cantidad]]*Tabla4[[#This Row],[Precio Unitario Bs]]</f>
        <v>0</v>
      </c>
      <c r="J21" s="16"/>
      <c r="K21" s="21">
        <v>8.6475764434860647</v>
      </c>
      <c r="L21" s="21">
        <f t="shared" si="1"/>
        <v>17.295152886972129</v>
      </c>
      <c r="M21" s="16"/>
    </row>
    <row r="22" spans="1:13" x14ac:dyDescent="0.25">
      <c r="A22" s="15" t="s">
        <v>49</v>
      </c>
      <c r="B22" s="48">
        <v>46204</v>
      </c>
      <c r="C22" s="1" t="s">
        <v>89</v>
      </c>
      <c r="D22" s="1">
        <v>1771545</v>
      </c>
      <c r="E22" s="25" t="s">
        <v>167</v>
      </c>
      <c r="F22" s="15" t="s">
        <v>95</v>
      </c>
      <c r="G22" s="16">
        <v>1</v>
      </c>
      <c r="H22" s="60"/>
      <c r="I22" s="60">
        <f>Tabla4[[#This Row],[Cantidad]]*Tabla4[[#This Row],[Precio Unitario Bs]]</f>
        <v>0</v>
      </c>
      <c r="J22" s="16"/>
      <c r="K22" s="21">
        <v>3.4755233515931585</v>
      </c>
      <c r="L22" s="21">
        <f t="shared" si="1"/>
        <v>3.4755233515931585</v>
      </c>
      <c r="M22" s="16"/>
    </row>
    <row r="23" spans="1:13" x14ac:dyDescent="0.25">
      <c r="A23" s="15" t="s">
        <v>50</v>
      </c>
      <c r="B23" s="48">
        <v>46204</v>
      </c>
      <c r="C23" s="1" t="s">
        <v>89</v>
      </c>
      <c r="D23" s="1">
        <v>1771545</v>
      </c>
      <c r="E23" s="25" t="s">
        <v>168</v>
      </c>
      <c r="F23" s="15" t="s">
        <v>95</v>
      </c>
      <c r="G23" s="16">
        <v>1</v>
      </c>
      <c r="H23" s="60"/>
      <c r="I23" s="60">
        <f>Tabla4[[#This Row],[Cantidad]]*Tabla4[[#This Row],[Precio Unitario Bs]]</f>
        <v>0</v>
      </c>
      <c r="J23" s="16"/>
      <c r="K23" s="21">
        <v>3.9423944925866898</v>
      </c>
      <c r="L23" s="21">
        <f t="shared" si="1"/>
        <v>3.9423944925866898</v>
      </c>
      <c r="M23" s="16"/>
    </row>
    <row r="24" spans="1:13" x14ac:dyDescent="0.25">
      <c r="A24" s="15" t="s">
        <v>51</v>
      </c>
      <c r="B24" s="48">
        <v>46204</v>
      </c>
      <c r="C24" s="1" t="s">
        <v>89</v>
      </c>
      <c r="D24" s="1">
        <v>1771545</v>
      </c>
      <c r="E24" s="25" t="s">
        <v>169</v>
      </c>
      <c r="F24" s="15" t="s">
        <v>95</v>
      </c>
      <c r="G24" s="16">
        <v>2</v>
      </c>
      <c r="H24" s="60"/>
      <c r="I24" s="60">
        <f>Tabla4[[#This Row],[Cantidad]]*Tabla4[[#This Row],[Precio Unitario Bs]]</f>
        <v>0</v>
      </c>
      <c r="J24" s="16"/>
      <c r="K24" s="21">
        <v>1.2536062038760831</v>
      </c>
      <c r="L24" s="21">
        <f t="shared" si="1"/>
        <v>2.5072124077521662</v>
      </c>
      <c r="M24" s="16"/>
    </row>
    <row r="25" spans="1:13" x14ac:dyDescent="0.25">
      <c r="A25" s="15" t="s">
        <v>52</v>
      </c>
      <c r="B25" s="48">
        <v>46204</v>
      </c>
      <c r="C25" s="1" t="s">
        <v>89</v>
      </c>
      <c r="D25" s="1">
        <v>1771545</v>
      </c>
      <c r="E25" s="25" t="s">
        <v>170</v>
      </c>
      <c r="F25" s="15" t="s">
        <v>95</v>
      </c>
      <c r="G25" s="16">
        <v>2</v>
      </c>
      <c r="H25" s="60"/>
      <c r="I25" s="60">
        <f>Tabla4[[#This Row],[Cantidad]]*Tabla4[[#This Row],[Precio Unitario Bs]]</f>
        <v>0</v>
      </c>
      <c r="J25" s="16"/>
      <c r="K25" s="21">
        <v>0.9337288884722017</v>
      </c>
      <c r="L25" s="21">
        <f t="shared" si="1"/>
        <v>1.8674577769444034</v>
      </c>
      <c r="M25" s="16"/>
    </row>
    <row r="26" spans="1:13" x14ac:dyDescent="0.25">
      <c r="A26" s="15" t="s">
        <v>53</v>
      </c>
      <c r="B26" s="48">
        <v>46204</v>
      </c>
      <c r="C26" s="1" t="s">
        <v>89</v>
      </c>
      <c r="D26" s="1">
        <v>1771545</v>
      </c>
      <c r="E26" s="25" t="s">
        <v>171</v>
      </c>
      <c r="F26" s="15" t="s">
        <v>95</v>
      </c>
      <c r="G26" s="16">
        <v>2</v>
      </c>
      <c r="H26" s="60"/>
      <c r="I26" s="60">
        <f>Tabla4[[#This Row],[Cantidad]]*Tabla4[[#This Row],[Precio Unitario Bs]]</f>
        <v>0</v>
      </c>
      <c r="J26" s="16"/>
      <c r="K26" s="21">
        <v>7.4838809048658632</v>
      </c>
      <c r="L26" s="21">
        <f t="shared" si="1"/>
        <v>14.967761809731726</v>
      </c>
      <c r="M26" s="16"/>
    </row>
    <row r="27" spans="1:13" x14ac:dyDescent="0.25">
      <c r="A27" s="15" t="s">
        <v>54</v>
      </c>
      <c r="B27" s="48">
        <v>46204</v>
      </c>
      <c r="C27" s="1" t="s">
        <v>89</v>
      </c>
      <c r="D27" s="1">
        <v>1771545</v>
      </c>
      <c r="E27" s="25" t="s">
        <v>172</v>
      </c>
      <c r="F27" s="15" t="s">
        <v>95</v>
      </c>
      <c r="G27" s="16">
        <v>2</v>
      </c>
      <c r="H27" s="60"/>
      <c r="I27" s="60">
        <f>Tabla4[[#This Row],[Cantidad]]*Tabla4[[#This Row],[Precio Unitario Bs]]</f>
        <v>0</v>
      </c>
      <c r="J27" s="16"/>
      <c r="K27" s="21">
        <v>2.674162570483372</v>
      </c>
      <c r="L27" s="21">
        <f t="shared" si="1"/>
        <v>5.3483251409667441</v>
      </c>
      <c r="M27" s="16"/>
    </row>
    <row r="28" spans="1:13" x14ac:dyDescent="0.25">
      <c r="A28" s="15" t="s">
        <v>55</v>
      </c>
      <c r="B28" s="18">
        <v>46235</v>
      </c>
      <c r="C28" s="1" t="s">
        <v>89</v>
      </c>
      <c r="D28" s="16">
        <v>1771546</v>
      </c>
      <c r="E28" s="25" t="s">
        <v>155</v>
      </c>
      <c r="F28" s="15" t="s">
        <v>95</v>
      </c>
      <c r="G28" s="16">
        <v>53</v>
      </c>
      <c r="H28" s="60"/>
      <c r="I28" s="60">
        <f>Tabla4[[#This Row],[Cantidad]]*Tabla4[[#This Row],[Precio Unitario Bs]]</f>
        <v>0</v>
      </c>
      <c r="J28" s="16"/>
      <c r="K28" s="21">
        <v>5.53</v>
      </c>
      <c r="L28" s="21">
        <f t="shared" si="1"/>
        <v>293.09000000000003</v>
      </c>
      <c r="M28" s="16"/>
    </row>
    <row r="29" spans="1:13" x14ac:dyDescent="0.25">
      <c r="A29" s="15" t="s">
        <v>100</v>
      </c>
      <c r="B29" s="18">
        <v>46235</v>
      </c>
      <c r="C29" s="1" t="s">
        <v>89</v>
      </c>
      <c r="D29" s="16">
        <v>1771546</v>
      </c>
      <c r="E29" s="25" t="s">
        <v>156</v>
      </c>
      <c r="F29" s="15" t="s">
        <v>95</v>
      </c>
      <c r="G29" s="16">
        <v>6</v>
      </c>
      <c r="H29" s="60"/>
      <c r="I29" s="60">
        <f>Tabla4[[#This Row],[Cantidad]]*Tabla4[[#This Row],[Precio Unitario Bs]]</f>
        <v>0</v>
      </c>
      <c r="J29" s="16"/>
      <c r="K29" s="21">
        <v>95.98</v>
      </c>
      <c r="L29" s="21">
        <f t="shared" si="1"/>
        <v>575.88</v>
      </c>
      <c r="M29" s="16"/>
    </row>
    <row r="30" spans="1:13" x14ac:dyDescent="0.25">
      <c r="A30" s="15" t="s">
        <v>101</v>
      </c>
      <c r="B30" s="18">
        <v>46235</v>
      </c>
      <c r="C30" s="1" t="s">
        <v>89</v>
      </c>
      <c r="D30" s="16">
        <v>1771546</v>
      </c>
      <c r="E30" s="25" t="s">
        <v>157</v>
      </c>
      <c r="F30" s="15" t="s">
        <v>95</v>
      </c>
      <c r="G30" s="16">
        <v>500</v>
      </c>
      <c r="H30" s="60"/>
      <c r="I30" s="60">
        <f>Tabla4[[#This Row],[Cantidad]]*Tabla4[[#This Row],[Precio Unitario Bs]]</f>
        <v>0</v>
      </c>
      <c r="J30" s="16"/>
      <c r="K30" s="21">
        <v>0.49</v>
      </c>
      <c r="L30" s="21">
        <f t="shared" si="1"/>
        <v>245</v>
      </c>
      <c r="M30" s="16"/>
    </row>
    <row r="31" spans="1:13" x14ac:dyDescent="0.25">
      <c r="A31" s="15" t="s">
        <v>102</v>
      </c>
      <c r="B31" s="18">
        <v>46235</v>
      </c>
      <c r="C31" s="1" t="s">
        <v>89</v>
      </c>
      <c r="D31" s="16">
        <v>1771546</v>
      </c>
      <c r="E31" s="25" t="s">
        <v>74</v>
      </c>
      <c r="F31" s="15" t="s">
        <v>95</v>
      </c>
      <c r="G31" s="16">
        <v>1</v>
      </c>
      <c r="H31" s="60"/>
      <c r="I31" s="60">
        <f>Tabla4[[#This Row],[Cantidad]]*Tabla4[[#This Row],[Precio Unitario Bs]]</f>
        <v>0</v>
      </c>
      <c r="J31" s="16"/>
      <c r="K31" s="21">
        <v>177.97</v>
      </c>
      <c r="L31" s="21">
        <f t="shared" si="1"/>
        <v>177.97</v>
      </c>
      <c r="M31" s="16"/>
    </row>
    <row r="32" spans="1:13" x14ac:dyDescent="0.25">
      <c r="A32" s="15" t="s">
        <v>103</v>
      </c>
      <c r="B32" s="18">
        <v>46237</v>
      </c>
      <c r="C32" s="1" t="s">
        <v>89</v>
      </c>
      <c r="D32" s="16">
        <v>1772631</v>
      </c>
      <c r="E32" s="25" t="s">
        <v>91</v>
      </c>
      <c r="F32" s="15" t="s">
        <v>95</v>
      </c>
      <c r="G32" s="16">
        <v>20</v>
      </c>
      <c r="H32" s="60"/>
      <c r="I32" s="60">
        <f>Tabla4[[#This Row],[Cantidad]]*Tabla4[[#This Row],[Precio Unitario Bs]]</f>
        <v>0</v>
      </c>
      <c r="J32" s="16"/>
      <c r="K32" s="21">
        <v>5.85</v>
      </c>
      <c r="L32" s="21">
        <f t="shared" si="1"/>
        <v>117</v>
      </c>
      <c r="M32" s="16" t="s">
        <v>34</v>
      </c>
    </row>
    <row r="33" spans="1:13" x14ac:dyDescent="0.25">
      <c r="A33" s="15" t="s">
        <v>104</v>
      </c>
      <c r="B33" s="18">
        <v>46237</v>
      </c>
      <c r="C33" s="1" t="s">
        <v>89</v>
      </c>
      <c r="D33" s="16">
        <v>1772631</v>
      </c>
      <c r="E33" s="25" t="s">
        <v>92</v>
      </c>
      <c r="F33" s="15" t="s">
        <v>95</v>
      </c>
      <c r="G33" s="16">
        <v>6</v>
      </c>
      <c r="H33" s="60"/>
      <c r="I33" s="60">
        <f>Tabla4[[#This Row],[Cantidad]]*Tabla4[[#This Row],[Precio Unitario Bs]]</f>
        <v>0</v>
      </c>
      <c r="J33" s="16"/>
      <c r="K33" s="21">
        <v>1.59</v>
      </c>
      <c r="L33" s="21">
        <f t="shared" si="1"/>
        <v>9.5400000000000009</v>
      </c>
      <c r="M33" s="16" t="s">
        <v>34</v>
      </c>
    </row>
    <row r="34" spans="1:13" x14ac:dyDescent="0.25">
      <c r="A34" s="15" t="s">
        <v>105</v>
      </c>
      <c r="B34" s="18">
        <v>46237</v>
      </c>
      <c r="C34" s="1" t="s">
        <v>89</v>
      </c>
      <c r="D34" s="16">
        <v>1772631</v>
      </c>
      <c r="E34" s="25" t="s">
        <v>93</v>
      </c>
      <c r="F34" s="15" t="s">
        <v>95</v>
      </c>
      <c r="G34" s="16">
        <v>6</v>
      </c>
      <c r="H34" s="60"/>
      <c r="I34" s="60">
        <f>Tabla4[[#This Row],[Cantidad]]*Tabla4[[#This Row],[Precio Unitario Bs]]</f>
        <v>0</v>
      </c>
      <c r="J34" s="16"/>
      <c r="K34" s="21">
        <v>1.59</v>
      </c>
      <c r="L34" s="21">
        <f t="shared" si="1"/>
        <v>9.5400000000000009</v>
      </c>
      <c r="M34" s="16" t="s">
        <v>34</v>
      </c>
    </row>
    <row r="35" spans="1:13" x14ac:dyDescent="0.25">
      <c r="A35" s="15" t="s">
        <v>106</v>
      </c>
      <c r="B35" s="18">
        <v>46237</v>
      </c>
      <c r="C35" s="1" t="s">
        <v>89</v>
      </c>
      <c r="D35" s="16">
        <v>1772631</v>
      </c>
      <c r="E35" s="25" t="s">
        <v>74</v>
      </c>
      <c r="F35" s="15" t="s">
        <v>95</v>
      </c>
      <c r="G35" s="16">
        <v>1</v>
      </c>
      <c r="H35" s="60"/>
      <c r="I35" s="60">
        <f>Tabla4[[#This Row],[Cantidad]]*Tabla4[[#This Row],[Precio Unitario Bs]]</f>
        <v>0</v>
      </c>
      <c r="J35" s="16"/>
      <c r="K35" s="21">
        <v>21.78</v>
      </c>
      <c r="L35" s="21">
        <f t="shared" si="1"/>
        <v>21.78</v>
      </c>
      <c r="M35" s="16" t="s">
        <v>34</v>
      </c>
    </row>
    <row r="36" spans="1:13" x14ac:dyDescent="0.25">
      <c r="A36" s="15" t="s">
        <v>107</v>
      </c>
      <c r="B36" s="18">
        <v>46237</v>
      </c>
      <c r="C36" s="16" t="s">
        <v>98</v>
      </c>
      <c r="D36" s="16">
        <v>2</v>
      </c>
      <c r="E36" s="25" t="s">
        <v>99</v>
      </c>
      <c r="F36" s="15" t="s">
        <v>95</v>
      </c>
      <c r="G36" s="16">
        <v>1</v>
      </c>
      <c r="H36" s="60"/>
      <c r="I36" s="60">
        <f>Tabla4[[#This Row],[Cantidad]]*Tabla4[[#This Row],[Precio Unitario Bs]]</f>
        <v>0</v>
      </c>
      <c r="J36" s="16"/>
      <c r="K36" s="21">
        <v>140</v>
      </c>
      <c r="L36" s="21">
        <f t="shared" si="1"/>
        <v>140</v>
      </c>
      <c r="M36" s="16" t="s">
        <v>34</v>
      </c>
    </row>
    <row r="37" spans="1:13" x14ac:dyDescent="0.25">
      <c r="A37" s="15" t="s">
        <v>108</v>
      </c>
      <c r="B37" s="18">
        <v>46237</v>
      </c>
      <c r="C37" s="16" t="s">
        <v>124</v>
      </c>
      <c r="D37" s="16">
        <v>19280</v>
      </c>
      <c r="E37" s="25" t="s">
        <v>125</v>
      </c>
      <c r="F37" s="15" t="s">
        <v>95</v>
      </c>
      <c r="G37" s="16">
        <v>5</v>
      </c>
      <c r="H37" s="60"/>
      <c r="I37" s="60">
        <f>Tabla4[[#This Row],[Cantidad]]*Tabla4[[#This Row],[Precio Unitario Bs]]</f>
        <v>0</v>
      </c>
      <c r="J37" s="16"/>
      <c r="K37" s="21">
        <v>1.4</v>
      </c>
      <c r="L37" s="21">
        <f t="shared" ref="L37:L59" si="2">G37*K37</f>
        <v>7</v>
      </c>
      <c r="M37" s="16"/>
    </row>
    <row r="38" spans="1:13" x14ac:dyDescent="0.25">
      <c r="A38" s="15" t="s">
        <v>109</v>
      </c>
      <c r="B38" s="18">
        <v>46237</v>
      </c>
      <c r="C38" s="16" t="s">
        <v>124</v>
      </c>
      <c r="D38" s="16">
        <v>19280</v>
      </c>
      <c r="E38" s="25" t="s">
        <v>74</v>
      </c>
      <c r="F38" s="15" t="s">
        <v>95</v>
      </c>
      <c r="G38" s="16">
        <v>1</v>
      </c>
      <c r="H38" s="60"/>
      <c r="I38" s="60">
        <f>Tabla4[[#This Row],[Cantidad]]*Tabla4[[#This Row],[Precio Unitario Bs]]</f>
        <v>0</v>
      </c>
      <c r="J38" s="16"/>
      <c r="K38" s="21">
        <v>1.1200000000000001</v>
      </c>
      <c r="L38" s="21">
        <f t="shared" si="2"/>
        <v>1.1200000000000001</v>
      </c>
      <c r="M38" s="16"/>
    </row>
    <row r="39" spans="1:13" x14ac:dyDescent="0.25">
      <c r="A39" s="15" t="s">
        <v>110</v>
      </c>
      <c r="B39" s="18">
        <v>46237</v>
      </c>
      <c r="C39" s="16" t="s">
        <v>126</v>
      </c>
      <c r="D39" s="16">
        <v>20416</v>
      </c>
      <c r="E39" s="25" t="s">
        <v>127</v>
      </c>
      <c r="F39" s="15" t="s">
        <v>95</v>
      </c>
      <c r="G39" s="16">
        <v>7</v>
      </c>
      <c r="H39" s="60"/>
      <c r="I39" s="60">
        <f>Tabla4[[#This Row],[Cantidad]]*Tabla4[[#This Row],[Precio Unitario Bs]]</f>
        <v>0</v>
      </c>
      <c r="J39" s="16"/>
      <c r="K39" s="21">
        <v>0.27</v>
      </c>
      <c r="L39" s="21">
        <f t="shared" si="2"/>
        <v>1.8900000000000001</v>
      </c>
      <c r="M39" s="16"/>
    </row>
    <row r="40" spans="1:13" x14ac:dyDescent="0.25">
      <c r="A40" s="15" t="s">
        <v>111</v>
      </c>
      <c r="B40" s="18">
        <v>46237</v>
      </c>
      <c r="C40" s="16" t="s">
        <v>126</v>
      </c>
      <c r="D40" s="16">
        <v>20416</v>
      </c>
      <c r="E40" s="25" t="s">
        <v>74</v>
      </c>
      <c r="F40" s="15" t="s">
        <v>95</v>
      </c>
      <c r="G40" s="16">
        <v>1</v>
      </c>
      <c r="H40" s="60"/>
      <c r="I40" s="60">
        <f>Tabla4[[#This Row],[Cantidad]]*Tabla4[[#This Row],[Precio Unitario Bs]]</f>
        <v>0</v>
      </c>
      <c r="J40" s="16"/>
      <c r="K40" s="21">
        <v>0.3</v>
      </c>
      <c r="L40" s="21">
        <f t="shared" si="2"/>
        <v>0.3</v>
      </c>
      <c r="M40" s="16"/>
    </row>
    <row r="41" spans="1:13" x14ac:dyDescent="0.25">
      <c r="A41" s="15" t="s">
        <v>112</v>
      </c>
      <c r="B41" s="18">
        <v>46237</v>
      </c>
      <c r="C41" s="16" t="s">
        <v>89</v>
      </c>
      <c r="D41" s="16">
        <v>2165997</v>
      </c>
      <c r="E41" s="25" t="s">
        <v>133</v>
      </c>
      <c r="F41" s="15" t="s">
        <v>95</v>
      </c>
      <c r="G41" s="16">
        <v>1</v>
      </c>
      <c r="H41" s="60"/>
      <c r="I41" s="60">
        <f>Tabla4[[#This Row],[Cantidad]]*Tabla4[[#This Row],[Precio Unitario Bs]]</f>
        <v>0</v>
      </c>
      <c r="J41" s="16"/>
      <c r="K41" s="21">
        <v>2.4500000000000002</v>
      </c>
      <c r="L41" s="21">
        <f t="shared" si="2"/>
        <v>2.4500000000000002</v>
      </c>
      <c r="M41" s="16"/>
    </row>
    <row r="42" spans="1:13" x14ac:dyDescent="0.25">
      <c r="A42" s="15" t="s">
        <v>113</v>
      </c>
      <c r="B42" s="18">
        <v>46237</v>
      </c>
      <c r="C42" s="16" t="s">
        <v>89</v>
      </c>
      <c r="D42" s="16">
        <v>2165997</v>
      </c>
      <c r="E42" s="25" t="s">
        <v>134</v>
      </c>
      <c r="F42" s="15" t="s">
        <v>95</v>
      </c>
      <c r="G42" s="16">
        <v>1</v>
      </c>
      <c r="H42" s="60"/>
      <c r="I42" s="60">
        <f>Tabla4[[#This Row],[Cantidad]]*Tabla4[[#This Row],[Precio Unitario Bs]]</f>
        <v>0</v>
      </c>
      <c r="J42" s="16"/>
      <c r="K42" s="21">
        <v>9.26</v>
      </c>
      <c r="L42" s="21">
        <f t="shared" si="2"/>
        <v>9.26</v>
      </c>
      <c r="M42" s="16"/>
    </row>
    <row r="43" spans="1:13" x14ac:dyDescent="0.25">
      <c r="A43" s="15" t="s">
        <v>114</v>
      </c>
      <c r="B43" s="18">
        <v>46237</v>
      </c>
      <c r="C43" s="16" t="s">
        <v>89</v>
      </c>
      <c r="D43" s="16">
        <v>2165997</v>
      </c>
      <c r="E43" s="25" t="s">
        <v>135</v>
      </c>
      <c r="F43" s="15" t="s">
        <v>95</v>
      </c>
      <c r="G43" s="16">
        <v>1</v>
      </c>
      <c r="H43" s="60"/>
      <c r="I43" s="60">
        <f>Tabla4[[#This Row],[Cantidad]]*Tabla4[[#This Row],[Precio Unitario Bs]]</f>
        <v>0</v>
      </c>
      <c r="J43" s="16"/>
      <c r="K43" s="21">
        <v>6.59</v>
      </c>
      <c r="L43" s="21">
        <f t="shared" si="2"/>
        <v>6.59</v>
      </c>
      <c r="M43" s="16"/>
    </row>
    <row r="44" spans="1:13" x14ac:dyDescent="0.25">
      <c r="A44" s="15" t="s">
        <v>115</v>
      </c>
      <c r="B44" s="18">
        <v>46237</v>
      </c>
      <c r="C44" s="16" t="s">
        <v>89</v>
      </c>
      <c r="D44" s="16">
        <v>2165997</v>
      </c>
      <c r="E44" s="25" t="s">
        <v>136</v>
      </c>
      <c r="F44" s="15" t="s">
        <v>95</v>
      </c>
      <c r="G44" s="16">
        <v>5</v>
      </c>
      <c r="H44" s="60"/>
      <c r="I44" s="60">
        <f>Tabla4[[#This Row],[Cantidad]]*Tabla4[[#This Row],[Precio Unitario Bs]]</f>
        <v>0</v>
      </c>
      <c r="J44" s="16"/>
      <c r="K44" s="21">
        <v>3.73</v>
      </c>
      <c r="L44" s="21">
        <f t="shared" si="2"/>
        <v>18.649999999999999</v>
      </c>
      <c r="M44" s="16"/>
    </row>
    <row r="45" spans="1:13" x14ac:dyDescent="0.25">
      <c r="A45" s="15" t="s">
        <v>116</v>
      </c>
      <c r="B45" s="18">
        <v>46238</v>
      </c>
      <c r="C45" s="16" t="s">
        <v>89</v>
      </c>
      <c r="D45" s="16">
        <v>2165997</v>
      </c>
      <c r="E45" s="25" t="s">
        <v>74</v>
      </c>
      <c r="F45" s="15" t="s">
        <v>95</v>
      </c>
      <c r="G45" s="16">
        <v>1</v>
      </c>
      <c r="H45" s="60"/>
      <c r="I45" s="60">
        <f>Tabla4[[#This Row],[Cantidad]]*Tabla4[[#This Row],[Precio Unitario Bs]]</f>
        <v>0</v>
      </c>
      <c r="J45" s="16"/>
      <c r="K45" s="21">
        <v>5.91</v>
      </c>
      <c r="L45" s="21">
        <f t="shared" si="2"/>
        <v>5.91</v>
      </c>
      <c r="M45" s="16"/>
    </row>
    <row r="46" spans="1:13" x14ac:dyDescent="0.25">
      <c r="A46" s="15" t="s">
        <v>117</v>
      </c>
      <c r="B46" s="18">
        <v>46238</v>
      </c>
      <c r="C46" s="16" t="s">
        <v>124</v>
      </c>
      <c r="D46" s="16">
        <v>19299</v>
      </c>
      <c r="E46" s="25" t="s">
        <v>137</v>
      </c>
      <c r="F46" s="15" t="s">
        <v>95</v>
      </c>
      <c r="G46" s="16">
        <v>1</v>
      </c>
      <c r="H46" s="60"/>
      <c r="I46" s="60">
        <f>Tabla4[[#This Row],[Cantidad]]*Tabla4[[#This Row],[Precio Unitario Bs]]</f>
        <v>0</v>
      </c>
      <c r="J46" s="16"/>
      <c r="K46" s="21">
        <v>6.25</v>
      </c>
      <c r="L46" s="21">
        <f t="shared" si="2"/>
        <v>6.25</v>
      </c>
      <c r="M46" s="16"/>
    </row>
    <row r="47" spans="1:13" x14ac:dyDescent="0.25">
      <c r="A47" s="15" t="s">
        <v>128</v>
      </c>
      <c r="B47" s="18">
        <v>46238</v>
      </c>
      <c r="C47" s="16" t="s">
        <v>124</v>
      </c>
      <c r="D47" s="16">
        <v>19299</v>
      </c>
      <c r="E47" s="25" t="s">
        <v>138</v>
      </c>
      <c r="F47" s="15" t="s">
        <v>95</v>
      </c>
      <c r="G47" s="16">
        <v>1</v>
      </c>
      <c r="H47" s="60"/>
      <c r="I47" s="60">
        <f>Tabla4[[#This Row],[Cantidad]]*Tabla4[[#This Row],[Precio Unitario Bs]]</f>
        <v>0</v>
      </c>
      <c r="J47" s="16"/>
      <c r="K47" s="21">
        <v>5.16</v>
      </c>
      <c r="L47" s="21">
        <f t="shared" si="2"/>
        <v>5.16</v>
      </c>
      <c r="M47" s="16"/>
    </row>
    <row r="48" spans="1:13" x14ac:dyDescent="0.25">
      <c r="A48" s="15" t="s">
        <v>173</v>
      </c>
      <c r="B48" s="18">
        <v>46238</v>
      </c>
      <c r="C48" s="16" t="s">
        <v>124</v>
      </c>
      <c r="D48" s="16">
        <v>19299</v>
      </c>
      <c r="E48" s="25" t="s">
        <v>139</v>
      </c>
      <c r="F48" s="15" t="s">
        <v>95</v>
      </c>
      <c r="G48" s="16">
        <v>4</v>
      </c>
      <c r="H48" s="60"/>
      <c r="I48" s="60">
        <f>Tabla4[[#This Row],[Cantidad]]*Tabla4[[#This Row],[Precio Unitario Bs]]</f>
        <v>0</v>
      </c>
      <c r="J48" s="16"/>
      <c r="K48" s="21">
        <v>0.84</v>
      </c>
      <c r="L48" s="21">
        <f t="shared" si="2"/>
        <v>3.36</v>
      </c>
      <c r="M48" s="16"/>
    </row>
    <row r="49" spans="1:13" x14ac:dyDescent="0.25">
      <c r="A49" s="15" t="s">
        <v>174</v>
      </c>
      <c r="B49" s="18">
        <v>46238</v>
      </c>
      <c r="C49" s="16" t="s">
        <v>124</v>
      </c>
      <c r="D49" s="16">
        <v>19299</v>
      </c>
      <c r="E49" s="25" t="s">
        <v>140</v>
      </c>
      <c r="F49" s="15" t="s">
        <v>95</v>
      </c>
      <c r="G49" s="16">
        <v>1</v>
      </c>
      <c r="H49" s="60"/>
      <c r="I49" s="60">
        <f>Tabla4[[#This Row],[Cantidad]]*Tabla4[[#This Row],[Precio Unitario Bs]]</f>
        <v>0</v>
      </c>
      <c r="J49" s="16"/>
      <c r="K49" s="21">
        <v>1.56</v>
      </c>
      <c r="L49" s="21">
        <f t="shared" si="2"/>
        <v>1.56</v>
      </c>
      <c r="M49" s="16"/>
    </row>
    <row r="50" spans="1:13" x14ac:dyDescent="0.25">
      <c r="A50" s="15" t="s">
        <v>175</v>
      </c>
      <c r="B50" s="18">
        <v>46238</v>
      </c>
      <c r="C50" s="16" t="s">
        <v>124</v>
      </c>
      <c r="D50" s="16">
        <v>19300</v>
      </c>
      <c r="E50" s="25" t="s">
        <v>74</v>
      </c>
      <c r="F50" s="15" t="s">
        <v>95</v>
      </c>
      <c r="G50" s="16">
        <v>1</v>
      </c>
      <c r="H50" s="60"/>
      <c r="I50" s="60">
        <f>Tabla4[[#This Row],[Cantidad]]*Tabla4[[#This Row],[Precio Unitario Bs]]</f>
        <v>0</v>
      </c>
      <c r="J50" s="16"/>
      <c r="K50" s="21">
        <v>2.61</v>
      </c>
      <c r="L50" s="21">
        <f t="shared" si="2"/>
        <v>2.61</v>
      </c>
      <c r="M50" s="16"/>
    </row>
    <row r="51" spans="1:13" x14ac:dyDescent="0.25">
      <c r="A51" s="15" t="s">
        <v>176</v>
      </c>
      <c r="B51" s="18">
        <v>46238</v>
      </c>
      <c r="C51" s="16" t="s">
        <v>147</v>
      </c>
      <c r="D51" s="16">
        <v>3</v>
      </c>
      <c r="E51" s="25" t="s">
        <v>149</v>
      </c>
      <c r="F51" s="15" t="s">
        <v>95</v>
      </c>
      <c r="G51" s="16">
        <v>6</v>
      </c>
      <c r="H51" s="60"/>
      <c r="I51" s="60">
        <f>Tabla4[[#This Row],[Cantidad]]*Tabla4[[#This Row],[Precio Unitario Bs]]</f>
        <v>0</v>
      </c>
      <c r="J51" s="16"/>
      <c r="K51" s="21">
        <v>18.559999999999999</v>
      </c>
      <c r="L51" s="21">
        <f t="shared" si="2"/>
        <v>111.35999999999999</v>
      </c>
      <c r="M51" s="16"/>
    </row>
    <row r="52" spans="1:13" x14ac:dyDescent="0.25">
      <c r="A52" s="15" t="s">
        <v>177</v>
      </c>
      <c r="B52" s="18">
        <v>46238</v>
      </c>
      <c r="C52" s="16" t="s">
        <v>147</v>
      </c>
      <c r="D52" s="16">
        <v>3</v>
      </c>
      <c r="E52" s="25" t="s">
        <v>148</v>
      </c>
      <c r="F52" s="15" t="s">
        <v>95</v>
      </c>
      <c r="G52" s="16">
        <v>1</v>
      </c>
      <c r="H52" s="60"/>
      <c r="I52" s="60">
        <f>Tabla4[[#This Row],[Cantidad]]*Tabla4[[#This Row],[Precio Unitario Bs]]</f>
        <v>0</v>
      </c>
      <c r="J52" s="16"/>
      <c r="K52" s="21">
        <v>60</v>
      </c>
      <c r="L52" s="21">
        <f t="shared" si="2"/>
        <v>60</v>
      </c>
      <c r="M52" s="16"/>
    </row>
    <row r="53" spans="1:13" x14ac:dyDescent="0.25">
      <c r="A53" s="15" t="s">
        <v>178</v>
      </c>
      <c r="B53" s="18">
        <v>46238</v>
      </c>
      <c r="C53" s="16" t="s">
        <v>124</v>
      </c>
      <c r="D53" s="16">
        <v>19303</v>
      </c>
      <c r="E53" s="25" t="s">
        <v>150</v>
      </c>
      <c r="F53" s="15" t="s">
        <v>95</v>
      </c>
      <c r="G53" s="16">
        <v>1</v>
      </c>
      <c r="H53" s="60"/>
      <c r="I53" s="60">
        <f>Tabla4[[#This Row],[Cantidad]]*Tabla4[[#This Row],[Precio Unitario Bs]]</f>
        <v>0</v>
      </c>
      <c r="J53" s="16"/>
      <c r="K53" s="21">
        <v>1.86</v>
      </c>
      <c r="L53" s="21">
        <f t="shared" si="2"/>
        <v>1.86</v>
      </c>
      <c r="M53" s="16"/>
    </row>
    <row r="54" spans="1:13" x14ac:dyDescent="0.25">
      <c r="A54" s="15" t="s">
        <v>179</v>
      </c>
      <c r="B54" s="18">
        <v>46238</v>
      </c>
      <c r="C54" s="16" t="s">
        <v>124</v>
      </c>
      <c r="D54" s="16">
        <v>19303</v>
      </c>
      <c r="E54" s="25" t="s">
        <v>74</v>
      </c>
      <c r="F54" s="15" t="s">
        <v>95</v>
      </c>
      <c r="G54" s="16">
        <v>1</v>
      </c>
      <c r="H54" s="60"/>
      <c r="I54" s="60">
        <f>Tabla4[[#This Row],[Cantidad]]*Tabla4[[#This Row],[Precio Unitario Bs]]</f>
        <v>0</v>
      </c>
      <c r="J54" s="16"/>
      <c r="K54" s="21">
        <v>0.3</v>
      </c>
      <c r="L54" s="21">
        <f t="shared" si="2"/>
        <v>0.3</v>
      </c>
      <c r="M54" s="16"/>
    </row>
    <row r="55" spans="1:13" x14ac:dyDescent="0.25">
      <c r="A55" s="15" t="s">
        <v>180</v>
      </c>
      <c r="B55" s="18">
        <v>46240</v>
      </c>
      <c r="C55" s="16" t="s">
        <v>124</v>
      </c>
      <c r="D55" s="16">
        <v>19353</v>
      </c>
      <c r="E55" s="25" t="s">
        <v>154</v>
      </c>
      <c r="F55" s="15" t="s">
        <v>95</v>
      </c>
      <c r="G55" s="16">
        <v>5</v>
      </c>
      <c r="H55" s="60"/>
      <c r="I55" s="60">
        <f>Tabla4[[#This Row],[Cantidad]]*Tabla4[[#This Row],[Precio Unitario Bs]]</f>
        <v>0</v>
      </c>
      <c r="J55" s="16"/>
      <c r="K55" s="21">
        <v>1058.26</v>
      </c>
      <c r="L55" s="21">
        <f t="shared" si="2"/>
        <v>5291.3</v>
      </c>
      <c r="M55" s="16"/>
    </row>
    <row r="56" spans="1:13" x14ac:dyDescent="0.25">
      <c r="A56" s="15" t="s">
        <v>181</v>
      </c>
      <c r="B56" s="18">
        <v>46240</v>
      </c>
      <c r="C56" s="16" t="s">
        <v>124</v>
      </c>
      <c r="D56" s="16">
        <v>19353</v>
      </c>
      <c r="E56" s="25" t="s">
        <v>74</v>
      </c>
      <c r="F56" s="15" t="s">
        <v>95</v>
      </c>
      <c r="G56" s="16">
        <v>1</v>
      </c>
      <c r="H56" s="60"/>
      <c r="I56" s="60">
        <f>Tabla4[[#This Row],[Cantidad]]*Tabla4[[#This Row],[Precio Unitario Bs]]</f>
        <v>0</v>
      </c>
      <c r="J56" s="16"/>
      <c r="K56" s="21">
        <v>846.61</v>
      </c>
      <c r="L56" s="21">
        <f t="shared" si="2"/>
        <v>846.61</v>
      </c>
      <c r="M56" s="16"/>
    </row>
    <row r="57" spans="1:13" x14ac:dyDescent="0.25">
      <c r="A57" s="15" t="s">
        <v>182</v>
      </c>
      <c r="B57" s="18">
        <v>46240</v>
      </c>
      <c r="C57" s="16" t="s">
        <v>147</v>
      </c>
      <c r="D57" s="16">
        <v>4</v>
      </c>
      <c r="E57" s="25" t="s">
        <v>149</v>
      </c>
      <c r="F57" s="15" t="s">
        <v>95</v>
      </c>
      <c r="G57" s="16">
        <v>6</v>
      </c>
      <c r="H57" s="60"/>
      <c r="I57" s="60">
        <f>Tabla4[[#This Row],[Cantidad]]*Tabla4[[#This Row],[Precio Unitario Bs]]</f>
        <v>0</v>
      </c>
      <c r="J57" s="16"/>
      <c r="K57" s="21">
        <v>18.559999999999999</v>
      </c>
      <c r="L57" s="21">
        <f t="shared" si="2"/>
        <v>111.35999999999999</v>
      </c>
      <c r="M57" s="16"/>
    </row>
    <row r="58" spans="1:13" x14ac:dyDescent="0.25">
      <c r="A58" s="15" t="s">
        <v>183</v>
      </c>
      <c r="B58" s="18">
        <v>46240</v>
      </c>
      <c r="C58" s="16" t="s">
        <v>147</v>
      </c>
      <c r="D58" s="16">
        <v>4</v>
      </c>
      <c r="E58" s="25" t="s">
        <v>148</v>
      </c>
      <c r="F58" s="15" t="s">
        <v>95</v>
      </c>
      <c r="G58" s="16">
        <v>1</v>
      </c>
      <c r="H58" s="60"/>
      <c r="I58" s="60">
        <f>Tabla4[[#This Row],[Cantidad]]*Tabla4[[#This Row],[Precio Unitario Bs]]</f>
        <v>0</v>
      </c>
      <c r="J58" s="16"/>
      <c r="K58" s="21">
        <v>60</v>
      </c>
      <c r="L58" s="21">
        <f t="shared" si="2"/>
        <v>60</v>
      </c>
      <c r="M58" s="16"/>
    </row>
    <row r="59" spans="1:13" x14ac:dyDescent="0.25">
      <c r="A59" s="15" t="s">
        <v>184</v>
      </c>
      <c r="B59" s="18">
        <v>46241</v>
      </c>
      <c r="C59" s="16" t="s">
        <v>147</v>
      </c>
      <c r="D59" s="16">
        <v>5</v>
      </c>
      <c r="E59" s="25" t="s">
        <v>205</v>
      </c>
      <c r="F59" s="15" t="s">
        <v>95</v>
      </c>
      <c r="G59" s="16">
        <v>3</v>
      </c>
      <c r="H59" s="60"/>
      <c r="I59" s="60">
        <f>Tabla4[[#This Row],[Cantidad]]*Tabla4[[#This Row],[Precio Unitario Bs]]</f>
        <v>0</v>
      </c>
      <c r="J59" s="16"/>
      <c r="K59" s="21">
        <v>80</v>
      </c>
      <c r="L59" s="21">
        <f t="shared" si="2"/>
        <v>240</v>
      </c>
      <c r="M59" s="16"/>
    </row>
    <row r="60" spans="1:13" x14ac:dyDescent="0.25">
      <c r="A60" s="15" t="s">
        <v>185</v>
      </c>
      <c r="B60" s="18">
        <v>46241</v>
      </c>
      <c r="C60" s="16" t="s">
        <v>232</v>
      </c>
      <c r="D60" s="16">
        <v>1384</v>
      </c>
      <c r="E60" s="25" t="s">
        <v>208</v>
      </c>
      <c r="F60" s="15" t="s">
        <v>95</v>
      </c>
      <c r="G60" s="16">
        <v>22</v>
      </c>
      <c r="H60" s="60">
        <v>70452.160000000003</v>
      </c>
      <c r="I60" s="60">
        <f>Tabla4[[#This Row],[Cantidad]]*Tabla4[[#This Row],[Precio Unitario Bs]]</f>
        <v>1549947.52</v>
      </c>
      <c r="J60" s="16">
        <v>756.71</v>
      </c>
      <c r="K60" s="21">
        <f>Tabla4[[#This Row],[Precio Unitario Bs]]/Tabla4[[#This Row],[Tasa]]</f>
        <v>93.10324959363561</v>
      </c>
      <c r="L60" s="21">
        <f t="shared" ref="L60:L81" si="3">G60*K60</f>
        <v>2048.2714910599834</v>
      </c>
      <c r="M60" s="16"/>
    </row>
    <row r="61" spans="1:13" x14ac:dyDescent="0.25">
      <c r="A61" s="15" t="s">
        <v>186</v>
      </c>
      <c r="B61" s="18">
        <v>46241</v>
      </c>
      <c r="C61" s="16" t="s">
        <v>232</v>
      </c>
      <c r="D61" s="16">
        <v>1384</v>
      </c>
      <c r="E61" s="25" t="s">
        <v>209</v>
      </c>
      <c r="F61" s="15" t="s">
        <v>95</v>
      </c>
      <c r="G61" s="16">
        <v>42</v>
      </c>
      <c r="H61" s="60">
        <v>1957</v>
      </c>
      <c r="I61" s="60">
        <f>Tabla4[[#This Row],[Cantidad]]*Tabla4[[#This Row],[Precio Unitario Bs]]</f>
        <v>82194</v>
      </c>
      <c r="J61" s="16">
        <v>756.71</v>
      </c>
      <c r="K61" s="21">
        <f>Tabla4[[#This Row],[Precio Unitario Bs]]/Tabla4[[#This Row],[Tasa]]</f>
        <v>2.5861955042222249</v>
      </c>
      <c r="L61" s="21">
        <f t="shared" si="3"/>
        <v>108.62021117733345</v>
      </c>
      <c r="M61" s="16"/>
    </row>
    <row r="62" spans="1:13" x14ac:dyDescent="0.25">
      <c r="A62" s="15" t="s">
        <v>187</v>
      </c>
      <c r="B62" s="18">
        <v>46241</v>
      </c>
      <c r="C62" s="16" t="s">
        <v>232</v>
      </c>
      <c r="D62" s="16">
        <v>1384</v>
      </c>
      <c r="E62" s="25" t="s">
        <v>210</v>
      </c>
      <c r="F62" s="15" t="s">
        <v>95</v>
      </c>
      <c r="G62" s="16">
        <v>32</v>
      </c>
      <c r="H62" s="60">
        <v>1957</v>
      </c>
      <c r="I62" s="60">
        <f>Tabla4[[#This Row],[Cantidad]]*Tabla4[[#This Row],[Precio Unitario Bs]]</f>
        <v>62624</v>
      </c>
      <c r="J62" s="16">
        <v>756.71</v>
      </c>
      <c r="K62" s="21">
        <f>Tabla4[[#This Row],[Precio Unitario Bs]]/Tabla4[[#This Row],[Tasa]]</f>
        <v>2.5861955042222249</v>
      </c>
      <c r="L62" s="21">
        <f t="shared" si="3"/>
        <v>82.758256135111196</v>
      </c>
      <c r="M62" s="16"/>
    </row>
    <row r="63" spans="1:13" x14ac:dyDescent="0.25">
      <c r="A63" s="15" t="s">
        <v>188</v>
      </c>
      <c r="B63" s="18">
        <v>46241</v>
      </c>
      <c r="C63" s="16" t="s">
        <v>232</v>
      </c>
      <c r="D63" s="16">
        <v>1384</v>
      </c>
      <c r="E63" s="25" t="s">
        <v>211</v>
      </c>
      <c r="F63" s="15" t="s">
        <v>95</v>
      </c>
      <c r="G63" s="16">
        <v>2</v>
      </c>
      <c r="H63" s="60">
        <v>1630.84</v>
      </c>
      <c r="I63" s="60">
        <f>Tabla4[[#This Row],[Cantidad]]*Tabla4[[#This Row],[Precio Unitario Bs]]</f>
        <v>3261.68</v>
      </c>
      <c r="J63" s="16">
        <v>756.71</v>
      </c>
      <c r="K63" s="21">
        <f>Tabla4[[#This Row],[Precio Unitario Bs]]/Tabla4[[#This Row],[Tasa]]</f>
        <v>2.1551717302533331</v>
      </c>
      <c r="L63" s="21">
        <f t="shared" si="3"/>
        <v>4.3103434605066662</v>
      </c>
      <c r="M63" s="16"/>
    </row>
    <row r="64" spans="1:13" x14ac:dyDescent="0.25">
      <c r="A64" s="15" t="s">
        <v>189</v>
      </c>
      <c r="B64" s="18">
        <v>46241</v>
      </c>
      <c r="C64" s="16" t="s">
        <v>232</v>
      </c>
      <c r="D64" s="16">
        <v>1384</v>
      </c>
      <c r="E64" s="25" t="s">
        <v>212</v>
      </c>
      <c r="F64" s="15" t="s">
        <v>95</v>
      </c>
      <c r="G64" s="16">
        <v>2</v>
      </c>
      <c r="H64" s="60">
        <v>3587.84</v>
      </c>
      <c r="I64" s="60">
        <f>Tabla4[[#This Row],[Cantidad]]*Tabla4[[#This Row],[Precio Unitario Bs]]</f>
        <v>7175.68</v>
      </c>
      <c r="J64" s="16">
        <v>756.71</v>
      </c>
      <c r="K64" s="21">
        <f>Tabla4[[#This Row],[Precio Unitario Bs]]/Tabla4[[#This Row],[Tasa]]</f>
        <v>4.7413672344755584</v>
      </c>
      <c r="L64" s="21">
        <f t="shared" si="3"/>
        <v>9.4827344689511168</v>
      </c>
      <c r="M64" s="16"/>
    </row>
    <row r="65" spans="1:13" x14ac:dyDescent="0.25">
      <c r="A65" s="15" t="s">
        <v>190</v>
      </c>
      <c r="B65" s="18">
        <v>46241</v>
      </c>
      <c r="C65" s="16" t="s">
        <v>232</v>
      </c>
      <c r="D65" s="16">
        <v>1384</v>
      </c>
      <c r="E65" s="25" t="s">
        <v>213</v>
      </c>
      <c r="F65" s="15" t="s">
        <v>95</v>
      </c>
      <c r="G65" s="16">
        <v>2</v>
      </c>
      <c r="H65" s="60">
        <v>3261.67</v>
      </c>
      <c r="I65" s="60">
        <f>Tabla4[[#This Row],[Cantidad]]*Tabla4[[#This Row],[Precio Unitario Bs]]</f>
        <v>6523.34</v>
      </c>
      <c r="J65" s="16">
        <v>756.71</v>
      </c>
      <c r="K65" s="21">
        <f>Tabla4[[#This Row],[Precio Unitario Bs]]/Tabla4[[#This Row],[Tasa]]</f>
        <v>4.3103302454044483</v>
      </c>
      <c r="L65" s="21">
        <f t="shared" si="3"/>
        <v>8.6206604908088966</v>
      </c>
      <c r="M65" s="16"/>
    </row>
    <row r="66" spans="1:13" x14ac:dyDescent="0.25">
      <c r="A66" s="15" t="s">
        <v>191</v>
      </c>
      <c r="B66" s="18">
        <v>46241</v>
      </c>
      <c r="C66" s="16" t="s">
        <v>232</v>
      </c>
      <c r="D66" s="16">
        <v>1384</v>
      </c>
      <c r="E66" s="25" t="s">
        <v>214</v>
      </c>
      <c r="F66" s="15" t="s">
        <v>95</v>
      </c>
      <c r="G66" s="16">
        <v>1</v>
      </c>
      <c r="H66" s="60">
        <v>55448.46</v>
      </c>
      <c r="I66" s="60">
        <f>Tabla4[[#This Row],[Cantidad]]*Tabla4[[#This Row],[Precio Unitario Bs]]</f>
        <v>55448.46</v>
      </c>
      <c r="J66" s="16">
        <v>756.71</v>
      </c>
      <c r="K66" s="21">
        <f>Tabla4[[#This Row],[Precio Unitario Bs]]/Tabla4[[#This Row],[Tasa]]</f>
        <v>73.275706677591145</v>
      </c>
      <c r="L66" s="21">
        <f t="shared" si="3"/>
        <v>73.275706677591145</v>
      </c>
      <c r="M66" s="16"/>
    </row>
    <row r="67" spans="1:13" x14ac:dyDescent="0.25">
      <c r="A67" s="15" t="s">
        <v>254</v>
      </c>
      <c r="B67" s="18">
        <v>46241</v>
      </c>
      <c r="C67" s="16" t="s">
        <v>232</v>
      </c>
      <c r="D67" s="16">
        <v>1384</v>
      </c>
      <c r="E67" s="25" t="s">
        <v>215</v>
      </c>
      <c r="F67" s="15" t="s">
        <v>95</v>
      </c>
      <c r="G67" s="16">
        <v>240</v>
      </c>
      <c r="H67" s="60">
        <v>652.34</v>
      </c>
      <c r="I67" s="60">
        <f>Tabla4[[#This Row],[Cantidad]]*Tabla4[[#This Row],[Precio Unitario Bs]]</f>
        <v>156561.60000000001</v>
      </c>
      <c r="J67" s="16">
        <v>756.71</v>
      </c>
      <c r="K67" s="21">
        <f>Tabla4[[#This Row],[Precio Unitario Bs]]/Tabla4[[#This Row],[Tasa]]</f>
        <v>0.86207397814222098</v>
      </c>
      <c r="L67" s="21">
        <f t="shared" si="3"/>
        <v>206.89775475413305</v>
      </c>
      <c r="M67" s="16"/>
    </row>
    <row r="68" spans="1:13" x14ac:dyDescent="0.25">
      <c r="A68" s="15" t="s">
        <v>255</v>
      </c>
      <c r="B68" s="18">
        <v>46241</v>
      </c>
      <c r="C68" s="16" t="s">
        <v>232</v>
      </c>
      <c r="D68" s="16">
        <v>1384</v>
      </c>
      <c r="E68" s="25" t="s">
        <v>216</v>
      </c>
      <c r="F68" s="15" t="s">
        <v>95</v>
      </c>
      <c r="G68" s="16">
        <v>2</v>
      </c>
      <c r="H68" s="60">
        <v>11089.69</v>
      </c>
      <c r="I68" s="60">
        <f>Tabla4[[#This Row],[Cantidad]]*Tabla4[[#This Row],[Precio Unitario Bs]]</f>
        <v>22179.38</v>
      </c>
      <c r="J68" s="16">
        <v>756.71</v>
      </c>
      <c r="K68" s="21">
        <f>Tabla4[[#This Row],[Precio Unitario Bs]]/Tabla4[[#This Row],[Tasa]]</f>
        <v>14.655138692497786</v>
      </c>
      <c r="L68" s="21">
        <f t="shared" si="3"/>
        <v>29.310277384995572</v>
      </c>
      <c r="M68" s="16"/>
    </row>
    <row r="69" spans="1:13" x14ac:dyDescent="0.25">
      <c r="A69" s="15" t="s">
        <v>256</v>
      </c>
      <c r="B69" s="18">
        <v>46241</v>
      </c>
      <c r="C69" s="16" t="s">
        <v>232</v>
      </c>
      <c r="D69" s="16">
        <v>1384</v>
      </c>
      <c r="E69" s="25" t="s">
        <v>217</v>
      </c>
      <c r="F69" s="15" t="s">
        <v>95</v>
      </c>
      <c r="G69" s="16">
        <v>14</v>
      </c>
      <c r="H69" s="60">
        <v>1304.67</v>
      </c>
      <c r="I69" s="60">
        <f>Tabla4[[#This Row],[Cantidad]]*Tabla4[[#This Row],[Precio Unitario Bs]]</f>
        <v>18265.38</v>
      </c>
      <c r="J69" s="16">
        <v>756.71</v>
      </c>
      <c r="K69" s="21">
        <f>Tabla4[[#This Row],[Precio Unitario Bs]]/Tabla4[[#This Row],[Tasa]]</f>
        <v>1.724134741182223</v>
      </c>
      <c r="L69" s="21">
        <f t="shared" si="3"/>
        <v>24.137886376551123</v>
      </c>
      <c r="M69" s="16"/>
    </row>
    <row r="70" spans="1:13" x14ac:dyDescent="0.25">
      <c r="A70" s="15" t="s">
        <v>257</v>
      </c>
      <c r="B70" s="18">
        <v>46241</v>
      </c>
      <c r="C70" s="16" t="s">
        <v>232</v>
      </c>
      <c r="D70" s="16">
        <v>1384</v>
      </c>
      <c r="E70" s="25" t="s">
        <v>218</v>
      </c>
      <c r="F70" s="15" t="s">
        <v>95</v>
      </c>
      <c r="G70" s="16">
        <v>2</v>
      </c>
      <c r="H70" s="60">
        <v>1957</v>
      </c>
      <c r="I70" s="60">
        <f>Tabla4[[#This Row],[Cantidad]]*Tabla4[[#This Row],[Precio Unitario Bs]]</f>
        <v>3914</v>
      </c>
      <c r="J70" s="16">
        <v>756.71</v>
      </c>
      <c r="K70" s="21">
        <f>Tabla4[[#This Row],[Precio Unitario Bs]]/Tabla4[[#This Row],[Tasa]]</f>
        <v>2.5861955042222249</v>
      </c>
      <c r="L70" s="21">
        <f t="shared" si="3"/>
        <v>5.1723910084444498</v>
      </c>
      <c r="M70" s="16"/>
    </row>
    <row r="71" spans="1:13" x14ac:dyDescent="0.25">
      <c r="A71" s="15" t="s">
        <v>258</v>
      </c>
      <c r="B71" s="18">
        <v>46241</v>
      </c>
      <c r="C71" s="16" t="s">
        <v>232</v>
      </c>
      <c r="D71" s="16">
        <v>1384</v>
      </c>
      <c r="E71" s="25" t="s">
        <v>219</v>
      </c>
      <c r="F71" s="15" t="s">
        <v>95</v>
      </c>
      <c r="G71" s="16">
        <v>3</v>
      </c>
      <c r="H71" s="60">
        <v>9132.69</v>
      </c>
      <c r="I71" s="60">
        <f>Tabla4[[#This Row],[Cantidad]]*Tabla4[[#This Row],[Precio Unitario Bs]]</f>
        <v>27398.07</v>
      </c>
      <c r="J71" s="16">
        <v>756.71</v>
      </c>
      <c r="K71" s="21">
        <f>Tabla4[[#This Row],[Precio Unitario Bs]]/Tabla4[[#This Row],[Tasa]]</f>
        <v>12.068943188275561</v>
      </c>
      <c r="L71" s="21">
        <f t="shared" si="3"/>
        <v>36.206829564826684</v>
      </c>
      <c r="M71" s="16"/>
    </row>
    <row r="72" spans="1:13" x14ac:dyDescent="0.25">
      <c r="A72" s="15" t="s">
        <v>259</v>
      </c>
      <c r="B72" s="18">
        <v>46241</v>
      </c>
      <c r="C72" s="16" t="s">
        <v>232</v>
      </c>
      <c r="D72" s="16">
        <v>1384</v>
      </c>
      <c r="E72" s="25" t="s">
        <v>220</v>
      </c>
      <c r="F72" s="15" t="s">
        <v>95</v>
      </c>
      <c r="G72" s="16">
        <v>2</v>
      </c>
      <c r="H72" s="60">
        <v>35878.410000000003</v>
      </c>
      <c r="I72" s="60">
        <f>Tabla4[[#This Row],[Cantidad]]*Tabla4[[#This Row],[Precio Unitario Bs]]</f>
        <v>71756.820000000007</v>
      </c>
      <c r="J72" s="16">
        <v>756.71</v>
      </c>
      <c r="K72" s="21">
        <f>Tabla4[[#This Row],[Precio Unitario Bs]]/Tabla4[[#This Row],[Tasa]]</f>
        <v>47.413685559857811</v>
      </c>
      <c r="L72" s="21">
        <f t="shared" si="3"/>
        <v>94.827371119715622</v>
      </c>
      <c r="M72" s="16"/>
    </row>
    <row r="73" spans="1:13" x14ac:dyDescent="0.25">
      <c r="A73" s="15" t="s">
        <v>260</v>
      </c>
      <c r="B73" s="18">
        <v>46241</v>
      </c>
      <c r="C73" s="16" t="s">
        <v>232</v>
      </c>
      <c r="D73" s="16">
        <v>1384</v>
      </c>
      <c r="E73" s="25" t="s">
        <v>221</v>
      </c>
      <c r="F73" s="15" t="s">
        <v>95</v>
      </c>
      <c r="G73" s="16">
        <v>1</v>
      </c>
      <c r="H73" s="60">
        <v>48925.1</v>
      </c>
      <c r="I73" s="60">
        <f>Tabla4[[#This Row],[Cantidad]]*Tabla4[[#This Row],[Precio Unitario Bs]]</f>
        <v>48925.1</v>
      </c>
      <c r="J73" s="16">
        <v>756.71</v>
      </c>
      <c r="K73" s="21">
        <f>Tabla4[[#This Row],[Precio Unitario Bs]]/Tabla4[[#This Row],[Tasa]]</f>
        <v>64.655019756577815</v>
      </c>
      <c r="L73" s="21">
        <f t="shared" si="3"/>
        <v>64.655019756577815</v>
      </c>
      <c r="M73" s="16"/>
    </row>
    <row r="74" spans="1:13" x14ac:dyDescent="0.25">
      <c r="A74" s="15" t="s">
        <v>261</v>
      </c>
      <c r="B74" s="18">
        <v>46241</v>
      </c>
      <c r="C74" s="16" t="s">
        <v>232</v>
      </c>
      <c r="D74" s="16">
        <v>1384</v>
      </c>
      <c r="E74" s="25" t="s">
        <v>222</v>
      </c>
      <c r="F74" s="15" t="s">
        <v>95</v>
      </c>
      <c r="G74" s="16">
        <v>12</v>
      </c>
      <c r="H74" s="60">
        <v>978.5</v>
      </c>
      <c r="I74" s="60">
        <f>Tabla4[[#This Row],[Cantidad]]*Tabla4[[#This Row],[Precio Unitario Bs]]</f>
        <v>11742</v>
      </c>
      <c r="J74" s="16">
        <v>756.71</v>
      </c>
      <c r="K74" s="21">
        <f>Tabla4[[#This Row],[Precio Unitario Bs]]/Tabla4[[#This Row],[Tasa]]</f>
        <v>1.2930977521111124</v>
      </c>
      <c r="L74" s="21">
        <f t="shared" si="3"/>
        <v>15.517173025333349</v>
      </c>
      <c r="M74" s="16"/>
    </row>
    <row r="75" spans="1:13" x14ac:dyDescent="0.25">
      <c r="A75" s="15" t="s">
        <v>262</v>
      </c>
      <c r="B75" s="18">
        <v>46241</v>
      </c>
      <c r="C75" s="16" t="s">
        <v>232</v>
      </c>
      <c r="D75" s="16">
        <v>1384</v>
      </c>
      <c r="E75" s="25" t="s">
        <v>223</v>
      </c>
      <c r="F75" s="15" t="s">
        <v>95</v>
      </c>
      <c r="G75" s="16">
        <v>1</v>
      </c>
      <c r="H75" s="60">
        <v>7828.02</v>
      </c>
      <c r="I75" s="60">
        <f>Tabla4[[#This Row],[Cantidad]]*Tabla4[[#This Row],[Precio Unitario Bs]]</f>
        <v>7828.02</v>
      </c>
      <c r="J75" s="16">
        <v>756.71</v>
      </c>
      <c r="K75" s="21">
        <f>Tabla4[[#This Row],[Precio Unitario Bs]]/Tabla4[[#This Row],[Tasa]]</f>
        <v>10.344808447093339</v>
      </c>
      <c r="L75" s="21">
        <f t="shared" si="3"/>
        <v>10.344808447093339</v>
      </c>
      <c r="M75" s="16"/>
    </row>
    <row r="76" spans="1:13" x14ac:dyDescent="0.25">
      <c r="A76" s="15" t="s">
        <v>263</v>
      </c>
      <c r="B76" s="18">
        <v>46241</v>
      </c>
      <c r="C76" s="16" t="s">
        <v>232</v>
      </c>
      <c r="D76" s="16">
        <v>1384</v>
      </c>
      <c r="E76" s="25" t="s">
        <v>224</v>
      </c>
      <c r="F76" s="15" t="s">
        <v>95</v>
      </c>
      <c r="G76" s="16">
        <v>1</v>
      </c>
      <c r="H76" s="60">
        <v>13046.7</v>
      </c>
      <c r="I76" s="60">
        <f>Tabla4[[#This Row],[Cantidad]]*Tabla4[[#This Row],[Precio Unitario Bs]]</f>
        <v>13046.7</v>
      </c>
      <c r="J76" s="16">
        <v>756.71</v>
      </c>
      <c r="K76" s="21">
        <f>Tabla4[[#This Row],[Precio Unitario Bs]]/Tabla4[[#This Row],[Tasa]]</f>
        <v>17.241347411822229</v>
      </c>
      <c r="L76" s="21">
        <f t="shared" si="3"/>
        <v>17.241347411822229</v>
      </c>
      <c r="M76" s="16"/>
    </row>
    <row r="77" spans="1:13" x14ac:dyDescent="0.25">
      <c r="A77" s="15" t="s">
        <v>264</v>
      </c>
      <c r="B77" s="18">
        <v>46241</v>
      </c>
      <c r="C77" s="16" t="s">
        <v>232</v>
      </c>
      <c r="D77" s="16">
        <v>1384</v>
      </c>
      <c r="E77" s="25" t="s">
        <v>225</v>
      </c>
      <c r="F77" s="15" t="s">
        <v>95</v>
      </c>
      <c r="G77" s="16">
        <v>2</v>
      </c>
      <c r="H77" s="60">
        <v>11089.69</v>
      </c>
      <c r="I77" s="60">
        <f>Tabla4[[#This Row],[Cantidad]]*Tabla4[[#This Row],[Precio Unitario Bs]]</f>
        <v>22179.38</v>
      </c>
      <c r="J77" s="16">
        <v>756.71</v>
      </c>
      <c r="K77" s="21">
        <f>Tabla4[[#This Row],[Precio Unitario Bs]]/Tabla4[[#This Row],[Tasa]]</f>
        <v>14.655138692497786</v>
      </c>
      <c r="L77" s="21">
        <f t="shared" si="3"/>
        <v>29.310277384995572</v>
      </c>
      <c r="M77" s="16"/>
    </row>
    <row r="78" spans="1:13" x14ac:dyDescent="0.25">
      <c r="A78" s="15" t="s">
        <v>265</v>
      </c>
      <c r="B78" s="18">
        <v>46241</v>
      </c>
      <c r="C78" s="16" t="s">
        <v>232</v>
      </c>
      <c r="D78" s="16">
        <v>1384</v>
      </c>
      <c r="E78" s="25" t="s">
        <v>226</v>
      </c>
      <c r="F78" s="15" t="s">
        <v>95</v>
      </c>
      <c r="G78" s="16">
        <v>1</v>
      </c>
      <c r="H78" s="60">
        <v>7828.02</v>
      </c>
      <c r="I78" s="60">
        <f>Tabla4[[#This Row],[Cantidad]]*Tabla4[[#This Row],[Precio Unitario Bs]]</f>
        <v>7828.02</v>
      </c>
      <c r="J78" s="16">
        <v>756.71</v>
      </c>
      <c r="K78" s="21">
        <f>Tabla4[[#This Row],[Precio Unitario Bs]]/Tabla4[[#This Row],[Tasa]]</f>
        <v>10.344808447093339</v>
      </c>
      <c r="L78" s="21">
        <f t="shared" si="3"/>
        <v>10.344808447093339</v>
      </c>
      <c r="M78" s="16"/>
    </row>
    <row r="79" spans="1:13" x14ac:dyDescent="0.25">
      <c r="A79" s="15" t="s">
        <v>266</v>
      </c>
      <c r="B79" s="18">
        <v>46241</v>
      </c>
      <c r="C79" s="16" t="s">
        <v>232</v>
      </c>
      <c r="D79" s="16">
        <v>1384</v>
      </c>
      <c r="E79" s="25" t="s">
        <v>227</v>
      </c>
      <c r="F79" s="15" t="s">
        <v>95</v>
      </c>
      <c r="G79" s="16">
        <v>1</v>
      </c>
      <c r="H79" s="60">
        <v>5218.68</v>
      </c>
      <c r="I79" s="60">
        <f>Tabla4[[#This Row],[Cantidad]]*Tabla4[[#This Row],[Precio Unitario Bs]]</f>
        <v>5218.68</v>
      </c>
      <c r="J79" s="16">
        <v>756.71</v>
      </c>
      <c r="K79" s="21">
        <f>Tabla4[[#This Row],[Precio Unitario Bs]]/Tabla4[[#This Row],[Tasa]]</f>
        <v>6.8965389647288919</v>
      </c>
      <c r="L79" s="21">
        <f t="shared" si="3"/>
        <v>6.8965389647288919</v>
      </c>
      <c r="M79" s="16"/>
    </row>
    <row r="80" spans="1:13" x14ac:dyDescent="0.25">
      <c r="A80" s="15" t="s">
        <v>267</v>
      </c>
      <c r="B80" s="18">
        <v>46241</v>
      </c>
      <c r="C80" s="16" t="s">
        <v>232</v>
      </c>
      <c r="D80" s="16">
        <v>1384</v>
      </c>
      <c r="E80" s="25" t="s">
        <v>228</v>
      </c>
      <c r="F80" s="15" t="s">
        <v>95</v>
      </c>
      <c r="G80" s="16">
        <v>8</v>
      </c>
      <c r="H80" s="60">
        <v>39140.089999999997</v>
      </c>
      <c r="I80" s="60">
        <f>Tabla4[[#This Row],[Cantidad]]*Tabla4[[#This Row],[Precio Unitario Bs]]</f>
        <v>313120.71999999997</v>
      </c>
      <c r="J80" s="16">
        <v>756.71</v>
      </c>
      <c r="K80" s="21">
        <f>Tabla4[[#This Row],[Precio Unitario Bs]]/Tabla4[[#This Row],[Tasa]]</f>
        <v>51.724029020364462</v>
      </c>
      <c r="L80" s="21">
        <f t="shared" si="3"/>
        <v>413.7922321629157</v>
      </c>
      <c r="M80" s="16"/>
    </row>
    <row r="81" spans="1:13" x14ac:dyDescent="0.25">
      <c r="A81" s="15" t="s">
        <v>268</v>
      </c>
      <c r="B81" s="18">
        <v>46241</v>
      </c>
      <c r="C81" s="16" t="s">
        <v>232</v>
      </c>
      <c r="D81" s="16">
        <v>1384</v>
      </c>
      <c r="E81" s="25" t="s">
        <v>229</v>
      </c>
      <c r="F81" s="15" t="s">
        <v>95</v>
      </c>
      <c r="G81" s="16">
        <v>1</v>
      </c>
      <c r="H81" s="60">
        <v>42401.760000000002</v>
      </c>
      <c r="I81" s="60">
        <f>Tabla4[[#This Row],[Cantidad]]*Tabla4[[#This Row],[Precio Unitario Bs]]</f>
        <v>42401.760000000002</v>
      </c>
      <c r="J81" s="16">
        <v>756.71</v>
      </c>
      <c r="K81" s="21">
        <f>Tabla4[[#This Row],[Precio Unitario Bs]]/Tabla4[[#This Row],[Tasa]]</f>
        <v>56.03435926576892</v>
      </c>
      <c r="L81" s="21">
        <f t="shared" si="3"/>
        <v>56.03435926576892</v>
      </c>
      <c r="M81" s="16"/>
    </row>
    <row r="82" spans="1:13" x14ac:dyDescent="0.25">
      <c r="A82" s="15" t="s">
        <v>269</v>
      </c>
      <c r="B82" s="18">
        <v>46241</v>
      </c>
      <c r="C82" s="16" t="s">
        <v>232</v>
      </c>
      <c r="D82" s="16">
        <v>1384</v>
      </c>
      <c r="E82" s="25" t="s">
        <v>74</v>
      </c>
      <c r="F82" s="15" t="s">
        <v>95</v>
      </c>
      <c r="G82" s="16">
        <v>1</v>
      </c>
      <c r="H82" s="60">
        <v>406326.45</v>
      </c>
      <c r="I82" s="60">
        <f>Tabla4[[#This Row],[Cantidad]]*Tabla4[[#This Row],[Precio Unitario Bs]]</f>
        <v>406326.45</v>
      </c>
      <c r="J82" s="16">
        <v>756.71</v>
      </c>
      <c r="K82" s="21">
        <f>Tabla4[[#This Row],[Precio Unitario Bs]]/Tabla4[[#This Row],[Tasa]]</f>
        <v>536.96455709584916</v>
      </c>
      <c r="L82" s="21">
        <f t="shared" ref="L82:L97" si="4">G82*K82</f>
        <v>536.96455709584916</v>
      </c>
      <c r="M82" s="16"/>
    </row>
    <row r="83" spans="1:13" x14ac:dyDescent="0.25">
      <c r="A83" s="15" t="s">
        <v>270</v>
      </c>
      <c r="B83" s="18">
        <v>46241</v>
      </c>
      <c r="C83" s="16" t="s">
        <v>89</v>
      </c>
      <c r="D83" s="16"/>
      <c r="E83" s="25" t="s">
        <v>235</v>
      </c>
      <c r="F83" s="15" t="s">
        <v>95</v>
      </c>
      <c r="G83" s="16">
        <v>1</v>
      </c>
      <c r="H83" s="60">
        <v>3632</v>
      </c>
      <c r="I83" s="60">
        <f>Tabla4[[#This Row],[Cantidad]]*Tabla4[[#This Row],[Precio Unitario Bs]]</f>
        <v>3632</v>
      </c>
      <c r="J83" s="16">
        <v>756.71</v>
      </c>
      <c r="K83" s="21">
        <f>Tabla4[[#This Row],[Precio Unitario Bs]]/Tabla4[[#This Row],[Tasa]]</f>
        <v>4.7997251258738487</v>
      </c>
      <c r="L83" s="21">
        <f t="shared" si="4"/>
        <v>4.7997251258738487</v>
      </c>
      <c r="M83" s="16"/>
    </row>
    <row r="84" spans="1:13" x14ac:dyDescent="0.25">
      <c r="A84" s="15" t="s">
        <v>271</v>
      </c>
      <c r="B84" s="18">
        <v>46241</v>
      </c>
      <c r="C84" s="16" t="s">
        <v>89</v>
      </c>
      <c r="D84" s="16"/>
      <c r="E84" s="25" t="s">
        <v>236</v>
      </c>
      <c r="F84" s="15" t="s">
        <v>95</v>
      </c>
      <c r="G84" s="16">
        <v>1</v>
      </c>
      <c r="H84" s="60">
        <v>17924.07</v>
      </c>
      <c r="I84" s="60">
        <f>Tabla4[[#This Row],[Cantidad]]*Tabla4[[#This Row],[Precio Unitario Bs]]</f>
        <v>17924.07</v>
      </c>
      <c r="J84" s="16">
        <v>756.71</v>
      </c>
      <c r="K84" s="21">
        <f>Tabla4[[#This Row],[Precio Unitario Bs]]/Tabla4[[#This Row],[Tasa]]</f>
        <v>23.686841722720725</v>
      </c>
      <c r="L84" s="21">
        <f t="shared" si="4"/>
        <v>23.686841722720725</v>
      </c>
      <c r="M84" s="16"/>
    </row>
    <row r="85" spans="1:13" x14ac:dyDescent="0.25">
      <c r="A85" s="15" t="s">
        <v>272</v>
      </c>
      <c r="B85" s="18">
        <v>46241</v>
      </c>
      <c r="C85" s="16" t="s">
        <v>89</v>
      </c>
      <c r="D85" s="16"/>
      <c r="E85" s="25" t="s">
        <v>237</v>
      </c>
      <c r="F85" s="15" t="s">
        <v>95</v>
      </c>
      <c r="G85" s="16">
        <v>3</v>
      </c>
      <c r="H85" s="60">
        <v>519.59</v>
      </c>
      <c r="I85" s="60">
        <f>Tabla4[[#This Row],[Cantidad]]*Tabla4[[#This Row],[Precio Unitario Bs]]</f>
        <v>1558.77</v>
      </c>
      <c r="J85" s="16">
        <v>756.71</v>
      </c>
      <c r="K85" s="21">
        <f>Tabla4[[#This Row],[Precio Unitario Bs]]/Tabla4[[#This Row],[Tasa]]</f>
        <v>0.68664349618744303</v>
      </c>
      <c r="L85" s="21">
        <f t="shared" si="4"/>
        <v>2.0599304885623289</v>
      </c>
      <c r="M85" s="16"/>
    </row>
    <row r="86" spans="1:13" x14ac:dyDescent="0.25">
      <c r="A86" s="15" t="s">
        <v>273</v>
      </c>
      <c r="B86" s="18">
        <v>46241</v>
      </c>
      <c r="C86" s="16" t="s">
        <v>89</v>
      </c>
      <c r="D86" s="16"/>
      <c r="E86" s="25" t="s">
        <v>238</v>
      </c>
      <c r="F86" s="15" t="s">
        <v>95</v>
      </c>
      <c r="G86" s="16">
        <v>1</v>
      </c>
      <c r="H86" s="60">
        <v>3806.18</v>
      </c>
      <c r="I86" s="60">
        <f>Tabla4[[#This Row],[Cantidad]]*Tabla4[[#This Row],[Precio Unitario Bs]]</f>
        <v>3806.18</v>
      </c>
      <c r="J86" s="16">
        <v>756.71</v>
      </c>
      <c r="K86" s="21">
        <f>Tabla4[[#This Row],[Precio Unitario Bs]]/Tabla4[[#This Row],[Tasa]]</f>
        <v>5.0299057763211792</v>
      </c>
      <c r="L86" s="21">
        <f t="shared" si="4"/>
        <v>5.0299057763211792</v>
      </c>
      <c r="M86" s="16"/>
    </row>
    <row r="87" spans="1:13" x14ac:dyDescent="0.25">
      <c r="A87" s="15" t="s">
        <v>274</v>
      </c>
      <c r="B87" s="18">
        <v>46241</v>
      </c>
      <c r="C87" s="16" t="s">
        <v>89</v>
      </c>
      <c r="D87" s="16"/>
      <c r="E87" s="25" t="s">
        <v>239</v>
      </c>
      <c r="F87" s="15" t="s">
        <v>95</v>
      </c>
      <c r="G87" s="16">
        <v>14</v>
      </c>
      <c r="H87" s="60">
        <v>2970.41</v>
      </c>
      <c r="I87" s="60">
        <f>Tabla4[[#This Row],[Cantidad]]*Tabla4[[#This Row],[Precio Unitario Bs]]</f>
        <v>41585.74</v>
      </c>
      <c r="J87" s="16">
        <v>756.71</v>
      </c>
      <c r="K87" s="21">
        <f>Tabla4[[#This Row],[Precio Unitario Bs]]/Tabla4[[#This Row],[Tasa]]</f>
        <v>3.9254271781792229</v>
      </c>
      <c r="L87" s="21">
        <f t="shared" si="4"/>
        <v>54.95598049450912</v>
      </c>
      <c r="M87" s="16"/>
    </row>
    <row r="88" spans="1:13" x14ac:dyDescent="0.25">
      <c r="A88" s="15" t="s">
        <v>275</v>
      </c>
      <c r="B88" s="18">
        <v>46241</v>
      </c>
      <c r="C88" s="16" t="s">
        <v>89</v>
      </c>
      <c r="D88" s="16"/>
      <c r="E88" s="25" t="s">
        <v>240</v>
      </c>
      <c r="F88" s="15" t="s">
        <v>95</v>
      </c>
      <c r="G88" s="16">
        <v>2</v>
      </c>
      <c r="H88" s="60">
        <v>1252.48</v>
      </c>
      <c r="I88" s="60">
        <f>Tabla4[[#This Row],[Cantidad]]*Tabla4[[#This Row],[Precio Unitario Bs]]</f>
        <v>2504.96</v>
      </c>
      <c r="J88" s="16">
        <v>756.71</v>
      </c>
      <c r="K88" s="21">
        <f>Tabla4[[#This Row],[Precio Unitario Bs]]/Tabla4[[#This Row],[Tasa]]</f>
        <v>1.6551651227022242</v>
      </c>
      <c r="L88" s="21">
        <f t="shared" si="4"/>
        <v>3.3103302454044483</v>
      </c>
      <c r="M88" s="16"/>
    </row>
    <row r="89" spans="1:13" x14ac:dyDescent="0.25">
      <c r="A89" s="15" t="s">
        <v>276</v>
      </c>
      <c r="B89" s="18">
        <v>46241</v>
      </c>
      <c r="C89" s="16" t="s">
        <v>89</v>
      </c>
      <c r="D89" s="16"/>
      <c r="E89" s="25" t="s">
        <v>241</v>
      </c>
      <c r="F89" s="15" t="s">
        <v>95</v>
      </c>
      <c r="G89" s="16">
        <v>1</v>
      </c>
      <c r="H89" s="60">
        <v>1252.48</v>
      </c>
      <c r="I89" s="60">
        <f>Tabla4[[#This Row],[Cantidad]]*Tabla4[[#This Row],[Precio Unitario Bs]]</f>
        <v>1252.48</v>
      </c>
      <c r="J89" s="16">
        <v>756.71</v>
      </c>
      <c r="K89" s="21">
        <f>Tabla4[[#This Row],[Precio Unitario Bs]]/Tabla4[[#This Row],[Tasa]]</f>
        <v>1.6551651227022242</v>
      </c>
      <c r="L89" s="21">
        <f t="shared" si="4"/>
        <v>1.6551651227022242</v>
      </c>
      <c r="M89" s="16"/>
    </row>
    <row r="90" spans="1:13" x14ac:dyDescent="0.25">
      <c r="A90" s="15" t="s">
        <v>277</v>
      </c>
      <c r="B90" s="18">
        <v>46241</v>
      </c>
      <c r="C90" s="16" t="s">
        <v>89</v>
      </c>
      <c r="D90" s="16"/>
      <c r="E90" s="25" t="s">
        <v>242</v>
      </c>
      <c r="F90" s="15" t="s">
        <v>95</v>
      </c>
      <c r="G90" s="16">
        <v>1</v>
      </c>
      <c r="H90" s="60">
        <v>1252.48</v>
      </c>
      <c r="I90" s="60">
        <f>Tabla4[[#This Row],[Cantidad]]*Tabla4[[#This Row],[Precio Unitario Bs]]</f>
        <v>1252.48</v>
      </c>
      <c r="J90" s="16">
        <v>756.71</v>
      </c>
      <c r="K90" s="21">
        <f>Tabla4[[#This Row],[Precio Unitario Bs]]/Tabla4[[#This Row],[Tasa]]</f>
        <v>1.6551651227022242</v>
      </c>
      <c r="L90" s="21">
        <f t="shared" si="4"/>
        <v>1.6551651227022242</v>
      </c>
      <c r="M90" s="16"/>
    </row>
    <row r="91" spans="1:13" x14ac:dyDescent="0.25">
      <c r="A91" s="15" t="s">
        <v>278</v>
      </c>
      <c r="B91" s="18">
        <v>46241</v>
      </c>
      <c r="C91" s="16" t="s">
        <v>89</v>
      </c>
      <c r="D91" s="16"/>
      <c r="E91" s="25" t="s">
        <v>243</v>
      </c>
      <c r="F91" s="15" t="s">
        <v>95</v>
      </c>
      <c r="G91" s="16">
        <v>2</v>
      </c>
      <c r="H91" s="60">
        <v>3685.17</v>
      </c>
      <c r="I91" s="60">
        <f>Tabla4[[#This Row],[Cantidad]]*Tabla4[[#This Row],[Precio Unitario Bs]]</f>
        <v>7370.34</v>
      </c>
      <c r="J91" s="16">
        <v>756.71</v>
      </c>
      <c r="K91" s="21">
        <f>Tabla4[[#This Row],[Precio Unitario Bs]]/Tabla4[[#This Row],[Tasa]]</f>
        <v>4.8699898243712916</v>
      </c>
      <c r="L91" s="21">
        <f t="shared" si="4"/>
        <v>9.7399796487425832</v>
      </c>
      <c r="M91" s="16"/>
    </row>
    <row r="92" spans="1:13" x14ac:dyDescent="0.25">
      <c r="A92" s="15" t="s">
        <v>279</v>
      </c>
      <c r="B92" s="18">
        <v>46241</v>
      </c>
      <c r="C92" s="16" t="s">
        <v>89</v>
      </c>
      <c r="D92" s="16"/>
      <c r="E92" s="25" t="s">
        <v>74</v>
      </c>
      <c r="F92" s="15" t="s">
        <v>95</v>
      </c>
      <c r="G92" s="16">
        <v>1</v>
      </c>
      <c r="H92" s="60">
        <v>12941.92</v>
      </c>
      <c r="I92" s="60">
        <f>Tabla4[[#This Row],[Cantidad]]*Tabla4[[#This Row],[Precio Unitario Bs]]</f>
        <v>12941.92</v>
      </c>
      <c r="J92" s="16">
        <v>756.71</v>
      </c>
      <c r="K92" s="21">
        <f>Tabla4[[#This Row],[Precio Unitario Bs]]/Tabla4[[#This Row],[Tasa]]</f>
        <v>17.102879570773478</v>
      </c>
      <c r="L92" s="21">
        <f t="shared" si="4"/>
        <v>17.102879570773478</v>
      </c>
      <c r="M92" s="16"/>
    </row>
    <row r="93" spans="1:13" x14ac:dyDescent="0.25">
      <c r="A93" s="15" t="s">
        <v>280</v>
      </c>
      <c r="B93" s="18">
        <v>46244</v>
      </c>
      <c r="C93" s="16" t="s">
        <v>89</v>
      </c>
      <c r="D93" s="16">
        <v>1778133</v>
      </c>
      <c r="E93" s="24" t="s">
        <v>245</v>
      </c>
      <c r="F93" s="15" t="s">
        <v>95</v>
      </c>
      <c r="G93" s="16">
        <v>3</v>
      </c>
      <c r="H93" s="60">
        <v>7151.92</v>
      </c>
      <c r="I93" s="60">
        <f>Tabla4[[#This Row],[Cantidad]]*Tabla4[[#This Row],[Precio Unitario Bs]]</f>
        <v>21455.760000000002</v>
      </c>
      <c r="J93" s="16">
        <v>757.54</v>
      </c>
      <c r="K93" s="21">
        <f>Tabla4[[#This Row],[Precio Unitario Bs]]/Tabla4[[#This Row],[Tasa]]</f>
        <v>9.4409800142566738</v>
      </c>
      <c r="L93" s="21">
        <f t="shared" si="4"/>
        <v>28.322940042770021</v>
      </c>
      <c r="M93" s="16"/>
    </row>
    <row r="94" spans="1:13" x14ac:dyDescent="0.25">
      <c r="A94" s="15" t="s">
        <v>281</v>
      </c>
      <c r="B94" s="18">
        <v>46244</v>
      </c>
      <c r="C94" s="16" t="s">
        <v>89</v>
      </c>
      <c r="D94" s="16">
        <v>1778133</v>
      </c>
      <c r="E94" s="24" t="s">
        <v>246</v>
      </c>
      <c r="F94" s="15" t="s">
        <v>95</v>
      </c>
      <c r="G94" s="16">
        <v>6</v>
      </c>
      <c r="H94" s="60">
        <v>3163.23</v>
      </c>
      <c r="I94" s="60">
        <f>Tabla4[[#This Row],[Cantidad]]*Tabla4[[#This Row],[Precio Unitario Bs]]</f>
        <v>18979.38</v>
      </c>
      <c r="J94" s="16">
        <v>757.54</v>
      </c>
      <c r="K94" s="21">
        <f>Tabla4[[#This Row],[Precio Unitario Bs]]/Tabla4[[#This Row],[Tasa]]</f>
        <v>4.1756606911846239</v>
      </c>
      <c r="L94" s="21">
        <f t="shared" si="4"/>
        <v>25.053964147107742</v>
      </c>
      <c r="M94" s="16"/>
    </row>
    <row r="95" spans="1:13" x14ac:dyDescent="0.25">
      <c r="A95" s="15" t="s">
        <v>282</v>
      </c>
      <c r="B95" s="18">
        <v>46244</v>
      </c>
      <c r="C95" s="16" t="s">
        <v>89</v>
      </c>
      <c r="D95" s="16">
        <v>1778133</v>
      </c>
      <c r="E95" s="24" t="s">
        <v>247</v>
      </c>
      <c r="F95" s="15" t="s">
        <v>95</v>
      </c>
      <c r="G95" s="16">
        <v>4</v>
      </c>
      <c r="H95" s="60">
        <v>6211.02</v>
      </c>
      <c r="I95" s="60">
        <f>Tabla4[[#This Row],[Cantidad]]*Tabla4[[#This Row],[Precio Unitario Bs]]</f>
        <v>24844.080000000002</v>
      </c>
      <c r="J95" s="16">
        <v>757.54</v>
      </c>
      <c r="K95" s="21">
        <f>Tabla4[[#This Row],[Precio Unitario Bs]]/Tabla4[[#This Row],[Tasa]]</f>
        <v>8.1989333896559931</v>
      </c>
      <c r="L95" s="21">
        <f t="shared" si="4"/>
        <v>32.795733558623972</v>
      </c>
      <c r="M95" s="16"/>
    </row>
    <row r="96" spans="1:13" x14ac:dyDescent="0.25">
      <c r="A96" s="15" t="s">
        <v>283</v>
      </c>
      <c r="B96" s="18">
        <v>46244</v>
      </c>
      <c r="C96" s="16" t="s">
        <v>89</v>
      </c>
      <c r="D96" s="16">
        <v>1778133</v>
      </c>
      <c r="E96" s="24" t="s">
        <v>248</v>
      </c>
      <c r="F96" s="15" t="s">
        <v>95</v>
      </c>
      <c r="G96" s="16">
        <v>2</v>
      </c>
      <c r="H96" s="60">
        <v>12687.58</v>
      </c>
      <c r="I96" s="60">
        <f>Tabla4[[#This Row],[Cantidad]]*Tabla4[[#This Row],[Precio Unitario Bs]]</f>
        <v>25375.16</v>
      </c>
      <c r="J96" s="16">
        <v>757.54</v>
      </c>
      <c r="K96" s="21">
        <f>Tabla4[[#This Row],[Precio Unitario Bs]]/Tabla4[[#This Row],[Tasa]]</f>
        <v>16.748396124297066</v>
      </c>
      <c r="L96" s="21">
        <f t="shared" si="4"/>
        <v>33.496792248594133</v>
      </c>
      <c r="M96" s="16"/>
    </row>
    <row r="97" spans="1:13" x14ac:dyDescent="0.25">
      <c r="A97" s="15" t="s">
        <v>284</v>
      </c>
      <c r="B97" s="18">
        <v>46244</v>
      </c>
      <c r="C97" s="16" t="s">
        <v>89</v>
      </c>
      <c r="D97" s="16">
        <v>1778133</v>
      </c>
      <c r="E97" s="24" t="s">
        <v>249</v>
      </c>
      <c r="F97" s="15" t="s">
        <v>95</v>
      </c>
      <c r="G97" s="16">
        <v>3</v>
      </c>
      <c r="H97" s="60">
        <v>4057.95</v>
      </c>
      <c r="I97" s="60">
        <f>Tabla4[[#This Row],[Cantidad]]*Tabla4[[#This Row],[Precio Unitario Bs]]</f>
        <v>12173.849999999999</v>
      </c>
      <c r="J97" s="16">
        <v>757.54</v>
      </c>
      <c r="K97" s="21">
        <f>Tabla4[[#This Row],[Precio Unitario Bs]]/Tabla4[[#This Row],[Tasa]]</f>
        <v>5.3567468384507748</v>
      </c>
      <c r="L97" s="21">
        <f t="shared" si="4"/>
        <v>16.070240515352324</v>
      </c>
      <c r="M97" s="16"/>
    </row>
    <row r="98" spans="1:13" x14ac:dyDescent="0.25">
      <c r="A98" s="15" t="s">
        <v>285</v>
      </c>
      <c r="B98" s="18">
        <v>46244</v>
      </c>
      <c r="C98" s="16" t="s">
        <v>74</v>
      </c>
      <c r="D98" s="16">
        <v>1778133</v>
      </c>
      <c r="E98" s="24" t="s">
        <v>74</v>
      </c>
      <c r="F98" s="15" t="s">
        <v>95</v>
      </c>
      <c r="G98" s="16">
        <v>1</v>
      </c>
      <c r="H98" s="60">
        <v>16452.52</v>
      </c>
      <c r="I98" s="60">
        <f>Tabla4[[#This Row],[Cantidad]]*Tabla4[[#This Row],[Precio Unitario Bs]]</f>
        <v>16452.52</v>
      </c>
      <c r="J98" s="16">
        <v>757.54</v>
      </c>
      <c r="K98" s="21">
        <f>Tabla4[[#This Row],[Precio Unitario Bs]]/Tabla4[[#This Row],[Tasa]]</f>
        <v>21.718351506191095</v>
      </c>
      <c r="L98" s="21">
        <f t="shared" ref="L98" si="5">G98*K98</f>
        <v>21.718351506191095</v>
      </c>
      <c r="M98" s="16"/>
    </row>
    <row r="99" spans="1:13" x14ac:dyDescent="0.25">
      <c r="A99" s="15" t="s">
        <v>286</v>
      </c>
      <c r="B99" s="18">
        <v>46244</v>
      </c>
      <c r="C99" s="16" t="s">
        <v>244</v>
      </c>
      <c r="D99" s="16">
        <v>6</v>
      </c>
      <c r="E99" s="24" t="s">
        <v>244</v>
      </c>
      <c r="F99" s="15" t="s">
        <v>95</v>
      </c>
      <c r="G99" s="16">
        <v>1</v>
      </c>
      <c r="H99" s="60"/>
      <c r="I99" s="60">
        <f>Tabla4[[#This Row],[Cantidad]]*Tabla4[[#This Row],[Precio Unitario Bs]]</f>
        <v>0</v>
      </c>
      <c r="J99" s="16">
        <v>757.54</v>
      </c>
      <c r="K99" s="21">
        <v>85</v>
      </c>
      <c r="L99" s="21">
        <f t="shared" ref="L99:L103" si="6">G99*K99</f>
        <v>85</v>
      </c>
      <c r="M99" s="16"/>
    </row>
    <row r="100" spans="1:13" x14ac:dyDescent="0.25">
      <c r="A100" s="15" t="s">
        <v>287</v>
      </c>
      <c r="B100" s="18">
        <v>46245</v>
      </c>
      <c r="C100" s="16" t="s">
        <v>124</v>
      </c>
      <c r="D100" s="16">
        <v>19454</v>
      </c>
      <c r="E100" s="25" t="s">
        <v>250</v>
      </c>
      <c r="F100" s="15" t="s">
        <v>95</v>
      </c>
      <c r="G100" s="16">
        <v>1</v>
      </c>
      <c r="H100" s="60">
        <v>1598.56</v>
      </c>
      <c r="I100" s="60">
        <f>Tabla4[[#This Row],[Cantidad]]*Tabla4[[#This Row],[Precio Unitario Bs]]</f>
        <v>1598.56</v>
      </c>
      <c r="J100" s="16">
        <v>761.22</v>
      </c>
      <c r="K100" s="21">
        <f>Tabla4[[#This Row],[Precio Unitario Bs]]/Tabla4[[#This Row],[Tasa]]</f>
        <v>2.0999973726386587</v>
      </c>
      <c r="L100" s="21">
        <f t="shared" si="6"/>
        <v>2.0999973726386587</v>
      </c>
      <c r="M100" s="16"/>
    </row>
    <row r="101" spans="1:13" x14ac:dyDescent="0.25">
      <c r="A101" s="15" t="s">
        <v>288</v>
      </c>
      <c r="B101" s="18">
        <v>46245</v>
      </c>
      <c r="C101" s="16" t="s">
        <v>124</v>
      </c>
      <c r="D101" s="16">
        <v>19454</v>
      </c>
      <c r="E101" s="25" t="s">
        <v>251</v>
      </c>
      <c r="F101" s="15" t="s">
        <v>95</v>
      </c>
      <c r="G101" s="16">
        <v>6</v>
      </c>
      <c r="H101" s="60">
        <v>1537.66</v>
      </c>
      <c r="I101" s="60">
        <f>Tabla4[[#This Row],[Cantidad]]*Tabla4[[#This Row],[Precio Unitario Bs]]</f>
        <v>9225.9600000000009</v>
      </c>
      <c r="J101" s="16">
        <v>761.22</v>
      </c>
      <c r="K101" s="21">
        <f>Tabla4[[#This Row],[Precio Unitario Bs]]/Tabla4[[#This Row],[Tasa]]</f>
        <v>2.0199942198050498</v>
      </c>
      <c r="L101" s="21">
        <f t="shared" si="6"/>
        <v>12.1199653188303</v>
      </c>
      <c r="M101" s="16"/>
    </row>
    <row r="102" spans="1:13" x14ac:dyDescent="0.25">
      <c r="A102" s="15" t="s">
        <v>289</v>
      </c>
      <c r="B102" s="18">
        <v>46245</v>
      </c>
      <c r="C102" s="16" t="s">
        <v>124</v>
      </c>
      <c r="D102" s="16">
        <v>19454</v>
      </c>
      <c r="E102" s="25" t="s">
        <v>252</v>
      </c>
      <c r="F102" s="15" t="s">
        <v>95</v>
      </c>
      <c r="G102" s="16">
        <v>5</v>
      </c>
      <c r="H102" s="60">
        <v>761.22</v>
      </c>
      <c r="I102" s="60">
        <f>Tabla4[[#This Row],[Cantidad]]*Tabla4[[#This Row],[Precio Unitario Bs]]</f>
        <v>3806.1000000000004</v>
      </c>
      <c r="J102" s="16">
        <v>761.22</v>
      </c>
      <c r="K102" s="21">
        <f>Tabla4[[#This Row],[Precio Unitario Bs]]/Tabla4[[#This Row],[Tasa]]</f>
        <v>1</v>
      </c>
      <c r="L102" s="21">
        <f t="shared" si="6"/>
        <v>5</v>
      </c>
      <c r="M102" s="16"/>
    </row>
    <row r="103" spans="1:13" x14ac:dyDescent="0.25">
      <c r="A103" s="15" t="s">
        <v>290</v>
      </c>
      <c r="B103" s="18">
        <v>46245</v>
      </c>
      <c r="C103" s="16" t="s">
        <v>124</v>
      </c>
      <c r="D103" s="16">
        <v>19454</v>
      </c>
      <c r="E103" s="25" t="s">
        <v>74</v>
      </c>
      <c r="F103" s="15" t="s">
        <v>95</v>
      </c>
      <c r="G103" s="16">
        <v>1</v>
      </c>
      <c r="H103" s="60">
        <v>2340.9</v>
      </c>
      <c r="I103" s="60">
        <f>Tabla4[[#This Row],[Cantidad]]*Tabla4[[#This Row],[Precio Unitario Bs]]</f>
        <v>2340.9</v>
      </c>
      <c r="J103" s="16">
        <v>761.22</v>
      </c>
      <c r="K103" s="21">
        <f>Tabla4[[#This Row],[Precio Unitario Bs]]/Tabla4[[#This Row],[Tasa]]</f>
        <v>3.0751950815795697</v>
      </c>
      <c r="L103" s="21">
        <f t="shared" si="6"/>
        <v>3.0751950815795697</v>
      </c>
      <c r="M103" s="16"/>
    </row>
    <row r="104" spans="1:13" x14ac:dyDescent="0.25">
      <c r="A104" s="15" t="s">
        <v>291</v>
      </c>
      <c r="B104" s="18">
        <v>46245</v>
      </c>
      <c r="C104" s="16" t="s">
        <v>126</v>
      </c>
      <c r="D104" s="16">
        <v>21378</v>
      </c>
      <c r="E104" s="25" t="s">
        <v>253</v>
      </c>
      <c r="F104" s="15" t="s">
        <v>95</v>
      </c>
      <c r="G104" s="16">
        <v>20</v>
      </c>
      <c r="H104" s="60">
        <v>343.8</v>
      </c>
      <c r="I104" s="60">
        <f>Tabla4[[#This Row],[Cantidad]]*Tabla4[[#This Row],[Precio Unitario Bs]]</f>
        <v>6876</v>
      </c>
      <c r="J104" s="16">
        <v>761.22</v>
      </c>
      <c r="K104" s="21">
        <f>Tabla4[[#This Row],[Precio Unitario Bs]]/Tabla4[[#This Row],[Tasa]]</f>
        <v>0.45164341451879875</v>
      </c>
      <c r="L104" s="21">
        <f t="shared" ref="L104:L106" si="7">G104*K104</f>
        <v>9.0328682903759745</v>
      </c>
      <c r="M104" s="16"/>
    </row>
    <row r="105" spans="1:13" x14ac:dyDescent="0.25">
      <c r="A105" s="15" t="s">
        <v>292</v>
      </c>
      <c r="B105" s="18">
        <v>46245</v>
      </c>
      <c r="C105" s="16" t="s">
        <v>295</v>
      </c>
      <c r="D105" s="16">
        <v>7</v>
      </c>
      <c r="E105" s="25" t="s">
        <v>294</v>
      </c>
      <c r="F105" s="15" t="s">
        <v>95</v>
      </c>
      <c r="G105" s="16">
        <v>1</v>
      </c>
      <c r="H105" s="60"/>
      <c r="I105" s="60">
        <f>Tabla4[[#This Row],[Cantidad]]*Tabla4[[#This Row],[Precio Unitario Bs]]</f>
        <v>0</v>
      </c>
      <c r="J105" s="16">
        <v>761.22</v>
      </c>
      <c r="K105" s="21">
        <v>240</v>
      </c>
      <c r="L105" s="21">
        <f t="shared" si="7"/>
        <v>240</v>
      </c>
      <c r="M105" s="16"/>
    </row>
    <row r="106" spans="1:13" x14ac:dyDescent="0.25">
      <c r="A106" s="15" t="s">
        <v>293</v>
      </c>
      <c r="B106" s="18">
        <v>46247</v>
      </c>
      <c r="C106" s="16" t="s">
        <v>89</v>
      </c>
      <c r="D106" s="65" t="s">
        <v>299</v>
      </c>
      <c r="E106" s="25" t="s">
        <v>300</v>
      </c>
      <c r="F106" s="15" t="s">
        <v>95</v>
      </c>
      <c r="G106" s="16">
        <v>5</v>
      </c>
      <c r="H106" s="60">
        <v>2875.72</v>
      </c>
      <c r="I106" s="60">
        <f>Tabla4[[#This Row],[Cantidad]]*Tabla4[[#This Row],[Precio Unitario Bs]]</f>
        <v>14378.599999999999</v>
      </c>
      <c r="J106" s="16">
        <v>771.07</v>
      </c>
      <c r="K106" s="21">
        <f>Tabla4[[#This Row],[Precio Unitario Bs]]/Tabla4[[#This Row],[Tasa]]</f>
        <v>3.7295187207387133</v>
      </c>
      <c r="L106" s="21">
        <f t="shared" si="7"/>
        <v>18.647593603693565</v>
      </c>
      <c r="M106" s="16"/>
    </row>
    <row r="107" spans="1:13" x14ac:dyDescent="0.25">
      <c r="A107" s="15" t="s">
        <v>296</v>
      </c>
      <c r="B107" s="18">
        <v>46247</v>
      </c>
      <c r="C107" s="16" t="s">
        <v>89</v>
      </c>
      <c r="D107" s="65" t="s">
        <v>299</v>
      </c>
      <c r="E107" s="25" t="s">
        <v>301</v>
      </c>
      <c r="F107" s="15" t="s">
        <v>95</v>
      </c>
      <c r="G107" s="16">
        <v>4</v>
      </c>
      <c r="H107" s="60">
        <v>1092.71</v>
      </c>
      <c r="I107" s="60">
        <f>Tabla4[[#This Row],[Cantidad]]*Tabla4[[#This Row],[Precio Unitario Bs]]</f>
        <v>4370.84</v>
      </c>
      <c r="J107" s="16">
        <v>771.07</v>
      </c>
      <c r="K107" s="21">
        <f>Tabla4[[#This Row],[Precio Unitario Bs]]/Tabla4[[#This Row],[Tasa]]</f>
        <v>1.417134631097047</v>
      </c>
      <c r="L107" s="21">
        <f t="shared" ref="L107:L108" si="8">G107*K107</f>
        <v>5.6685385243881878</v>
      </c>
      <c r="M107" s="16"/>
    </row>
    <row r="108" spans="1:13" x14ac:dyDescent="0.25">
      <c r="A108" s="15" t="s">
        <v>303</v>
      </c>
      <c r="B108" s="18">
        <v>46247</v>
      </c>
      <c r="C108" s="16" t="s">
        <v>89</v>
      </c>
      <c r="D108" s="65" t="s">
        <v>299</v>
      </c>
      <c r="E108" s="25" t="s">
        <v>74</v>
      </c>
      <c r="F108" s="15" t="s">
        <v>95</v>
      </c>
      <c r="G108" s="16">
        <v>1</v>
      </c>
      <c r="H108" s="60">
        <v>2999.91</v>
      </c>
      <c r="I108" s="60">
        <f>Tabla4[[#This Row],[Cantidad]]*Tabla4[[#This Row],[Precio Unitario Bs]]</f>
        <v>2999.91</v>
      </c>
      <c r="J108" s="16">
        <v>771.07</v>
      </c>
      <c r="K108" s="21">
        <f>Tabla4[[#This Row],[Precio Unitario Bs]]/Tabla4[[#This Row],[Tasa]]</f>
        <v>3.8905806217334349</v>
      </c>
      <c r="L108" s="21">
        <f t="shared" si="8"/>
        <v>3.8905806217334349</v>
      </c>
      <c r="M108" s="16"/>
    </row>
    <row r="109" spans="1:13" x14ac:dyDescent="0.25">
      <c r="A109" s="15" t="s">
        <v>304</v>
      </c>
      <c r="B109" s="18">
        <v>46247</v>
      </c>
      <c r="C109" s="16" t="s">
        <v>124</v>
      </c>
      <c r="D109" s="65" t="s">
        <v>302</v>
      </c>
      <c r="E109" s="25" t="s">
        <v>154</v>
      </c>
      <c r="F109" s="15" t="s">
        <v>95</v>
      </c>
      <c r="G109" s="16">
        <v>5</v>
      </c>
      <c r="H109" s="60">
        <v>1073.5999999999999</v>
      </c>
      <c r="I109" s="60">
        <f>Tabla4[[#This Row],[Cantidad]]*Tabla4[[#This Row],[Precio Unitario Bs]]</f>
        <v>5368</v>
      </c>
      <c r="J109" s="16">
        <v>771.07</v>
      </c>
      <c r="K109" s="21">
        <f>Tabla4[[#This Row],[Precio Unitario Bs]]/Tabla4[[#This Row],[Tasa]]</f>
        <v>1.3923508890243426</v>
      </c>
      <c r="L109" s="21">
        <f t="shared" ref="L109:L112" si="9">G109*K109</f>
        <v>6.9617544451217128</v>
      </c>
      <c r="M109" s="16"/>
    </row>
    <row r="110" spans="1:13" x14ac:dyDescent="0.25">
      <c r="A110" s="15" t="s">
        <v>305</v>
      </c>
      <c r="B110" s="18">
        <v>46247</v>
      </c>
      <c r="C110" s="16" t="s">
        <v>124</v>
      </c>
      <c r="D110" s="65" t="s">
        <v>302</v>
      </c>
      <c r="E110" s="25" t="s">
        <v>74</v>
      </c>
      <c r="F110" s="15" t="s">
        <v>95</v>
      </c>
      <c r="G110" s="16">
        <v>1</v>
      </c>
      <c r="H110" s="60">
        <v>858.88</v>
      </c>
      <c r="I110" s="60">
        <f>Tabla4[[#This Row],[Cantidad]]*Tabla4[[#This Row],[Precio Unitario Bs]]</f>
        <v>858.88</v>
      </c>
      <c r="J110" s="16">
        <v>771.07</v>
      </c>
      <c r="K110" s="21">
        <f>Tabla4[[#This Row],[Precio Unitario Bs]]/Tabla4[[#This Row],[Tasa]]</f>
        <v>1.1138807112194742</v>
      </c>
      <c r="L110" s="21">
        <f t="shared" si="9"/>
        <v>1.1138807112194742</v>
      </c>
      <c r="M110" s="16"/>
    </row>
    <row r="111" spans="1:13" x14ac:dyDescent="0.25">
      <c r="A111" s="15" t="s">
        <v>319</v>
      </c>
      <c r="B111" s="18">
        <v>46248</v>
      </c>
      <c r="C111" s="16" t="s">
        <v>147</v>
      </c>
      <c r="D111" s="16">
        <v>8</v>
      </c>
      <c r="E111" s="25" t="s">
        <v>205</v>
      </c>
      <c r="F111" s="15" t="s">
        <v>95</v>
      </c>
      <c r="G111" s="16">
        <v>1</v>
      </c>
      <c r="H111" s="60"/>
      <c r="I111" s="60"/>
      <c r="J111" s="16"/>
      <c r="K111" s="21">
        <v>80</v>
      </c>
      <c r="L111" s="21">
        <f t="shared" si="9"/>
        <v>80</v>
      </c>
      <c r="M111" s="16"/>
    </row>
    <row r="112" spans="1:13" x14ac:dyDescent="0.25">
      <c r="A112" s="15" t="s">
        <v>320</v>
      </c>
      <c r="B112" s="18">
        <v>46248</v>
      </c>
      <c r="C112" s="16" t="s">
        <v>317</v>
      </c>
      <c r="D112" s="16">
        <v>9</v>
      </c>
      <c r="E112" s="25" t="s">
        <v>318</v>
      </c>
      <c r="F112" s="15" t="s">
        <v>95</v>
      </c>
      <c r="G112" s="16">
        <v>1</v>
      </c>
      <c r="H112" s="60"/>
      <c r="I112" s="60"/>
      <c r="J112" s="16"/>
      <c r="K112" s="21">
        <v>30</v>
      </c>
      <c r="L112" s="21">
        <f t="shared" si="9"/>
        <v>30</v>
      </c>
      <c r="M112" s="16"/>
    </row>
    <row r="113" spans="1:13" x14ac:dyDescent="0.25">
      <c r="A113" s="15"/>
      <c r="B113" s="18"/>
      <c r="C113" s="16"/>
      <c r="D113" s="16"/>
      <c r="E113" s="25"/>
      <c r="F113" s="16"/>
      <c r="G113" s="16"/>
      <c r="H113" s="60"/>
      <c r="I113" s="60"/>
      <c r="J113" s="16"/>
      <c r="K113" s="21"/>
      <c r="L113" s="21"/>
      <c r="M113" s="16"/>
    </row>
    <row r="114" spans="1:13" x14ac:dyDescent="0.25">
      <c r="A114" s="15"/>
      <c r="B114" s="18"/>
      <c r="C114" s="16"/>
      <c r="D114" s="16"/>
      <c r="E114" s="25"/>
      <c r="F114" s="16"/>
      <c r="G114" s="16"/>
      <c r="H114" s="60"/>
      <c r="I114" s="60"/>
      <c r="J114" s="16"/>
      <c r="K114" s="21"/>
      <c r="L114" s="21"/>
      <c r="M114" s="16"/>
    </row>
    <row r="115" spans="1:13" x14ac:dyDescent="0.25">
      <c r="A115" s="15"/>
      <c r="B115" s="16"/>
      <c r="C115" s="16"/>
      <c r="D115" s="16"/>
      <c r="E115" s="25"/>
      <c r="F115" s="16"/>
      <c r="G115" s="16"/>
      <c r="H115" s="60"/>
      <c r="I115" s="60"/>
      <c r="J115" s="16"/>
      <c r="K115" s="21"/>
      <c r="L115" s="21"/>
      <c r="M115" s="16"/>
    </row>
    <row r="116" spans="1:13" x14ac:dyDescent="0.25">
      <c r="A116" s="15"/>
      <c r="B116" s="16"/>
      <c r="C116" s="16"/>
      <c r="D116" s="16"/>
      <c r="E116" s="25"/>
      <c r="F116" s="16"/>
      <c r="G116" s="16"/>
      <c r="H116" s="60"/>
      <c r="I116" s="60"/>
      <c r="J116" s="16"/>
      <c r="K116" s="21"/>
      <c r="L116" s="21"/>
      <c r="M116" s="16"/>
    </row>
    <row r="117" spans="1:13" x14ac:dyDescent="0.25">
      <c r="A117" s="15"/>
      <c r="B117" s="16"/>
      <c r="C117" s="16"/>
      <c r="D117" s="16"/>
      <c r="E117" s="25"/>
      <c r="F117" s="16"/>
      <c r="G117" s="16"/>
      <c r="H117" s="60"/>
      <c r="I117" s="60"/>
      <c r="J117" s="16"/>
      <c r="K117" s="21"/>
      <c r="L117" s="21"/>
      <c r="M117" s="16"/>
    </row>
    <row r="118" spans="1:13" x14ac:dyDescent="0.25">
      <c r="A118" s="15"/>
      <c r="B118" s="16"/>
      <c r="C118" s="16"/>
      <c r="D118" s="16"/>
      <c r="E118" s="25"/>
      <c r="F118" s="16"/>
      <c r="G118" s="16"/>
      <c r="H118" s="60"/>
      <c r="I118" s="60"/>
      <c r="J118" s="16"/>
      <c r="K118" s="21"/>
      <c r="L118" s="21"/>
      <c r="M118" s="16"/>
    </row>
    <row r="119" spans="1:13" x14ac:dyDescent="0.25">
      <c r="A119" s="15"/>
      <c r="B119" s="22"/>
      <c r="C119" s="22"/>
      <c r="D119" s="22"/>
      <c r="E119" s="26"/>
      <c r="F119" s="22"/>
      <c r="G119" s="22"/>
      <c r="H119" s="62"/>
      <c r="I119" s="62"/>
      <c r="J119" s="22"/>
      <c r="K119" s="23"/>
      <c r="L119" s="21"/>
      <c r="M119" s="22"/>
    </row>
    <row r="120" spans="1:13" ht="15.75" thickBot="1" x14ac:dyDescent="0.3">
      <c r="A120" s="5" t="s">
        <v>56</v>
      </c>
      <c r="B120" s="11"/>
      <c r="C120" s="11"/>
      <c r="D120" s="11"/>
      <c r="E120" s="27"/>
      <c r="F120" s="31"/>
      <c r="G120" s="11"/>
      <c r="H120" s="63"/>
      <c r="I120" s="11"/>
      <c r="J120" s="6"/>
      <c r="K120" s="11"/>
      <c r="L120" s="41">
        <f>SUM(L5:L119)</f>
        <v>17239.126381865146</v>
      </c>
    </row>
    <row r="121" spans="1:13" ht="15.75" thickTop="1" x14ac:dyDescent="0.25"/>
    <row r="122" spans="1:13" ht="15.75" thickBot="1" x14ac:dyDescent="0.3">
      <c r="H122" s="64" t="s">
        <v>95</v>
      </c>
      <c r="J122" s="6">
        <f>SUMIF(F7:F593,"AULAS",J7:J593)</f>
        <v>38696.87999999999</v>
      </c>
    </row>
    <row r="123" spans="1:13" ht="16.5" thickTop="1" thickBot="1" x14ac:dyDescent="0.3">
      <c r="H123" s="64" t="s">
        <v>96</v>
      </c>
      <c r="J123" s="6">
        <f>SUMIF(F7:F593,"BAÑOS",J7:J593)</f>
        <v>0</v>
      </c>
    </row>
    <row r="124" spans="1:13" ht="15.75" thickTop="1" x14ac:dyDescent="0.25">
      <c r="J124" s="33"/>
    </row>
  </sheetData>
  <mergeCells count="1">
    <mergeCell ref="A1:K2"/>
  </mergeCells>
  <phoneticPr fontId="9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8"/>
  <sheetViews>
    <sheetView zoomScale="70" zoomScaleNormal="70" workbookViewId="0">
      <selection activeCell="F16" sqref="F16"/>
    </sheetView>
  </sheetViews>
  <sheetFormatPr baseColWidth="10" defaultColWidth="9.140625" defaultRowHeight="15" x14ac:dyDescent="0.25"/>
  <cols>
    <col min="1" max="1" width="13" customWidth="1"/>
    <col min="2" max="2" width="16.28515625" bestFit="1" customWidth="1"/>
    <col min="3" max="3" width="16" bestFit="1" customWidth="1"/>
    <col min="4" max="4" width="44.28515625" bestFit="1" customWidth="1"/>
    <col min="5" max="5" width="14.42578125" style="47" bestFit="1" customWidth="1"/>
    <col min="6" max="6" width="38.7109375" style="57" customWidth="1"/>
    <col min="7" max="7" width="14.28515625" style="57" customWidth="1"/>
    <col min="8" max="8" width="21" customWidth="1"/>
    <col min="9" max="9" width="23.28515625" style="40" customWidth="1"/>
    <col min="10" max="10" width="26.5703125" customWidth="1"/>
    <col min="11" max="11" width="25" bestFit="1" customWidth="1"/>
    <col min="12" max="12" width="25.42578125" bestFit="1" customWidth="1"/>
    <col min="13" max="13" width="26" bestFit="1" customWidth="1"/>
    <col min="14" max="14" width="35.42578125" bestFit="1" customWidth="1"/>
  </cols>
  <sheetData>
    <row r="1" spans="1:14" x14ac:dyDescent="0.25">
      <c r="A1" s="77" t="s">
        <v>57</v>
      </c>
      <c r="B1" s="77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4" spans="1:14" x14ac:dyDescent="0.25">
      <c r="A4" s="1" t="s">
        <v>58</v>
      </c>
      <c r="B4" s="1" t="s">
        <v>131</v>
      </c>
      <c r="C4" s="1" t="s">
        <v>59</v>
      </c>
      <c r="D4" s="1" t="s">
        <v>60</v>
      </c>
      <c r="E4" s="42" t="s">
        <v>130</v>
      </c>
      <c r="F4" s="52" t="s">
        <v>192</v>
      </c>
      <c r="G4" s="52" t="s">
        <v>194</v>
      </c>
      <c r="H4" s="1" t="s">
        <v>61</v>
      </c>
      <c r="I4" s="37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67</v>
      </c>
    </row>
    <row r="5" spans="1:14" x14ac:dyDescent="0.25">
      <c r="A5" s="16">
        <v>1</v>
      </c>
      <c r="B5" s="18">
        <v>46239</v>
      </c>
      <c r="C5" s="18">
        <v>46239</v>
      </c>
      <c r="D5" s="16" t="s">
        <v>151</v>
      </c>
      <c r="E5" s="44"/>
      <c r="F5" s="54"/>
      <c r="G5" s="54"/>
      <c r="H5" s="16" t="s">
        <v>151</v>
      </c>
      <c r="I5" s="36">
        <v>21</v>
      </c>
      <c r="J5" s="21">
        <v>51.9</v>
      </c>
      <c r="K5" s="21">
        <v>0</v>
      </c>
      <c r="L5" s="21">
        <v>0</v>
      </c>
      <c r="M5" s="21">
        <f>IF(I5&lt;&gt;"", (I5*J5)+K5-L5, 0)</f>
        <v>1089.8999999999999</v>
      </c>
      <c r="N5" s="16" t="s">
        <v>152</v>
      </c>
    </row>
    <row r="6" spans="1:14" x14ac:dyDescent="0.25">
      <c r="A6" s="15">
        <v>1</v>
      </c>
      <c r="B6" s="17">
        <v>46237</v>
      </c>
      <c r="C6" s="17">
        <v>46241</v>
      </c>
      <c r="D6" s="16" t="s">
        <v>79</v>
      </c>
      <c r="E6" s="43"/>
      <c r="F6" s="53"/>
      <c r="G6" s="53"/>
      <c r="H6" s="15" t="s">
        <v>78</v>
      </c>
      <c r="I6" s="36">
        <v>6</v>
      </c>
      <c r="J6" s="20">
        <v>33.299999999999997</v>
      </c>
      <c r="K6" s="20">
        <v>0.2</v>
      </c>
      <c r="L6" s="20">
        <v>0</v>
      </c>
      <c r="M6" s="20">
        <f t="shared" ref="M6:M12" si="0">(I6*J6)+K6-L6</f>
        <v>199.99999999999997</v>
      </c>
      <c r="N6" s="15" t="s">
        <v>84</v>
      </c>
    </row>
    <row r="7" spans="1:14" x14ac:dyDescent="0.25">
      <c r="A7" s="15">
        <v>1</v>
      </c>
      <c r="B7" s="17">
        <v>46237</v>
      </c>
      <c r="C7" s="17">
        <v>46241</v>
      </c>
      <c r="D7" s="16" t="s">
        <v>76</v>
      </c>
      <c r="E7" s="44"/>
      <c r="F7" s="54"/>
      <c r="G7" s="54"/>
      <c r="H7" s="16" t="s">
        <v>75</v>
      </c>
      <c r="I7" s="36">
        <v>0</v>
      </c>
      <c r="J7" s="21">
        <v>30</v>
      </c>
      <c r="K7" s="20">
        <v>0</v>
      </c>
      <c r="L7" s="20">
        <v>0</v>
      </c>
      <c r="M7" s="21">
        <f t="shared" si="0"/>
        <v>0</v>
      </c>
      <c r="N7" s="16" t="s">
        <v>84</v>
      </c>
    </row>
    <row r="8" spans="1:14" x14ac:dyDescent="0.25">
      <c r="A8" s="15">
        <v>1</v>
      </c>
      <c r="B8" s="17">
        <v>46237</v>
      </c>
      <c r="C8" s="17">
        <v>46241</v>
      </c>
      <c r="D8" s="16" t="s">
        <v>203</v>
      </c>
      <c r="E8" s="44">
        <v>16654228</v>
      </c>
      <c r="F8" s="54"/>
      <c r="G8" s="54"/>
      <c r="H8" s="16" t="s">
        <v>82</v>
      </c>
      <c r="I8" s="36">
        <v>4.5</v>
      </c>
      <c r="J8" s="21">
        <v>43.3</v>
      </c>
      <c r="K8" s="20">
        <v>0.15</v>
      </c>
      <c r="L8" s="20">
        <v>0</v>
      </c>
      <c r="M8" s="21">
        <f t="shared" si="0"/>
        <v>195</v>
      </c>
      <c r="N8" s="16" t="s">
        <v>84</v>
      </c>
    </row>
    <row r="9" spans="1:14" x14ac:dyDescent="0.25">
      <c r="A9" s="15">
        <v>1</v>
      </c>
      <c r="B9" s="17">
        <v>46237</v>
      </c>
      <c r="C9" s="17">
        <v>46241</v>
      </c>
      <c r="D9" s="16" t="s">
        <v>118</v>
      </c>
      <c r="E9" s="44">
        <v>11953356</v>
      </c>
      <c r="F9" s="58" t="s">
        <v>196</v>
      </c>
      <c r="G9" s="54" t="s">
        <v>197</v>
      </c>
      <c r="H9" s="16" t="s">
        <v>80</v>
      </c>
      <c r="I9" s="36">
        <v>5</v>
      </c>
      <c r="J9" s="21">
        <v>20</v>
      </c>
      <c r="K9" s="20">
        <v>0</v>
      </c>
      <c r="L9" s="20">
        <v>0</v>
      </c>
      <c r="M9" s="21">
        <f t="shared" si="0"/>
        <v>100</v>
      </c>
      <c r="N9" s="16" t="s">
        <v>84</v>
      </c>
    </row>
    <row r="10" spans="1:14" x14ac:dyDescent="0.25">
      <c r="A10" s="15">
        <v>1</v>
      </c>
      <c r="B10" s="17">
        <v>46237</v>
      </c>
      <c r="C10" s="17">
        <v>46241</v>
      </c>
      <c r="D10" s="16" t="s">
        <v>119</v>
      </c>
      <c r="E10" s="44">
        <v>17129701</v>
      </c>
      <c r="F10" s="58" t="s">
        <v>198</v>
      </c>
      <c r="G10" s="54" t="s">
        <v>199</v>
      </c>
      <c r="H10" s="16" t="s">
        <v>80</v>
      </c>
      <c r="I10" s="36">
        <v>5</v>
      </c>
      <c r="J10" s="21">
        <v>20</v>
      </c>
      <c r="K10" s="20">
        <v>0</v>
      </c>
      <c r="L10" s="20">
        <v>0</v>
      </c>
      <c r="M10" s="21">
        <f t="shared" si="0"/>
        <v>100</v>
      </c>
      <c r="N10" s="16" t="s">
        <v>84</v>
      </c>
    </row>
    <row r="11" spans="1:14" x14ac:dyDescent="0.25">
      <c r="A11" s="15">
        <v>1</v>
      </c>
      <c r="B11" s="17">
        <v>46237</v>
      </c>
      <c r="C11" s="17">
        <v>46241</v>
      </c>
      <c r="D11" s="16" t="s">
        <v>120</v>
      </c>
      <c r="E11" s="44">
        <v>18620608</v>
      </c>
      <c r="F11" s="58" t="s">
        <v>206</v>
      </c>
      <c r="G11" s="54" t="s">
        <v>195</v>
      </c>
      <c r="H11" s="16" t="s">
        <v>80</v>
      </c>
      <c r="I11" s="36">
        <v>3</v>
      </c>
      <c r="J11" s="21">
        <v>20</v>
      </c>
      <c r="K11" s="20">
        <v>0</v>
      </c>
      <c r="L11" s="20">
        <v>0</v>
      </c>
      <c r="M11" s="21">
        <f t="shared" si="0"/>
        <v>60</v>
      </c>
      <c r="N11" s="16" t="s">
        <v>84</v>
      </c>
    </row>
    <row r="12" spans="1:14" x14ac:dyDescent="0.25">
      <c r="A12" s="15">
        <v>1</v>
      </c>
      <c r="B12" s="17">
        <v>46237</v>
      </c>
      <c r="C12" s="17">
        <v>46241</v>
      </c>
      <c r="D12" s="16" t="s">
        <v>122</v>
      </c>
      <c r="E12" s="44">
        <v>14401299</v>
      </c>
      <c r="F12" s="58" t="s">
        <v>193</v>
      </c>
      <c r="G12" s="58" t="s">
        <v>195</v>
      </c>
      <c r="H12" s="16" t="s">
        <v>80</v>
      </c>
      <c r="I12" s="36">
        <v>5</v>
      </c>
      <c r="J12" s="21">
        <v>20</v>
      </c>
      <c r="K12" s="21">
        <v>0</v>
      </c>
      <c r="L12" s="21">
        <v>0</v>
      </c>
      <c r="M12" s="21">
        <f t="shared" si="0"/>
        <v>100</v>
      </c>
      <c r="N12" s="16" t="s">
        <v>84</v>
      </c>
    </row>
    <row r="13" spans="1:14" x14ac:dyDescent="0.25">
      <c r="A13" s="15">
        <v>1</v>
      </c>
      <c r="B13" s="17">
        <v>46237</v>
      </c>
      <c r="C13" s="17">
        <v>46241</v>
      </c>
      <c r="D13" s="16" t="s">
        <v>129</v>
      </c>
      <c r="E13" s="44">
        <v>26749609</v>
      </c>
      <c r="F13" s="58" t="s">
        <v>200</v>
      </c>
      <c r="G13" s="54" t="s">
        <v>199</v>
      </c>
      <c r="H13" s="16" t="s">
        <v>80</v>
      </c>
      <c r="I13" s="36">
        <v>5</v>
      </c>
      <c r="J13" s="21">
        <v>20</v>
      </c>
      <c r="K13" s="21">
        <v>0</v>
      </c>
      <c r="L13" s="21">
        <v>0</v>
      </c>
      <c r="M13" s="21">
        <f t="shared" ref="M13:M46" si="1">IF(I13&lt;&gt;"", (I13*J13)+K13-L13, 0)</f>
        <v>100</v>
      </c>
      <c r="N13" s="16" t="s">
        <v>84</v>
      </c>
    </row>
    <row r="14" spans="1:14" x14ac:dyDescent="0.25">
      <c r="A14" s="15">
        <v>1</v>
      </c>
      <c r="B14" s="17">
        <v>46237</v>
      </c>
      <c r="C14" s="17">
        <v>46241</v>
      </c>
      <c r="D14" s="16" t="s">
        <v>201</v>
      </c>
      <c r="E14" s="44">
        <v>17521849</v>
      </c>
      <c r="F14" s="58" t="s">
        <v>202</v>
      </c>
      <c r="G14" s="54" t="s">
        <v>199</v>
      </c>
      <c r="H14" s="16" t="s">
        <v>80</v>
      </c>
      <c r="I14" s="36">
        <v>2</v>
      </c>
      <c r="J14" s="21">
        <v>20</v>
      </c>
      <c r="K14" s="21">
        <v>0</v>
      </c>
      <c r="L14" s="21">
        <v>0</v>
      </c>
      <c r="M14" s="21">
        <f t="shared" si="1"/>
        <v>40</v>
      </c>
      <c r="N14" s="16" t="s">
        <v>84</v>
      </c>
    </row>
    <row r="15" spans="1:14" x14ac:dyDescent="0.25">
      <c r="A15" s="15">
        <v>1</v>
      </c>
      <c r="B15" s="17">
        <v>46237</v>
      </c>
      <c r="C15" s="17">
        <v>46241</v>
      </c>
      <c r="D15" s="16" t="s">
        <v>204</v>
      </c>
      <c r="E15" s="44">
        <v>21184006</v>
      </c>
      <c r="F15" s="58" t="s">
        <v>207</v>
      </c>
      <c r="G15" s="54" t="s">
        <v>199</v>
      </c>
      <c r="H15" s="16" t="s">
        <v>80</v>
      </c>
      <c r="I15" s="36">
        <v>2</v>
      </c>
      <c r="J15" s="21">
        <v>20</v>
      </c>
      <c r="K15" s="21">
        <v>0</v>
      </c>
      <c r="L15" s="21">
        <v>0</v>
      </c>
      <c r="M15" s="21">
        <f t="shared" si="1"/>
        <v>40</v>
      </c>
      <c r="N15" s="16" t="s">
        <v>84</v>
      </c>
    </row>
    <row r="16" spans="1:14" x14ac:dyDescent="0.25">
      <c r="A16" s="16">
        <v>2</v>
      </c>
      <c r="B16" s="18">
        <v>46244</v>
      </c>
      <c r="C16" s="18">
        <v>46246</v>
      </c>
      <c r="D16" s="16" t="s">
        <v>204</v>
      </c>
      <c r="E16" s="44">
        <v>17662480</v>
      </c>
      <c r="F16" s="58" t="s">
        <v>297</v>
      </c>
      <c r="G16" s="54" t="s">
        <v>298</v>
      </c>
      <c r="H16" s="16" t="s">
        <v>80</v>
      </c>
      <c r="I16" s="36">
        <v>3</v>
      </c>
      <c r="J16" s="21">
        <v>20</v>
      </c>
      <c r="K16" s="21">
        <v>0</v>
      </c>
      <c r="L16" s="21">
        <v>0</v>
      </c>
      <c r="M16" s="21">
        <f t="shared" si="1"/>
        <v>60</v>
      </c>
      <c r="N16" s="16" t="s">
        <v>311</v>
      </c>
    </row>
    <row r="17" spans="1:14" x14ac:dyDescent="0.25">
      <c r="A17" s="16">
        <v>2</v>
      </c>
      <c r="B17" s="18">
        <v>46244</v>
      </c>
      <c r="C17" s="17">
        <v>46249</v>
      </c>
      <c r="D17" s="16" t="s">
        <v>79</v>
      </c>
      <c r="E17" s="44"/>
      <c r="F17" s="54"/>
      <c r="G17" s="54"/>
      <c r="H17" s="51" t="s">
        <v>78</v>
      </c>
      <c r="I17" s="36">
        <v>6</v>
      </c>
      <c r="J17" s="21">
        <v>33.299999999999997</v>
      </c>
      <c r="K17" s="20">
        <v>0.2</v>
      </c>
      <c r="L17" s="20">
        <v>0</v>
      </c>
      <c r="M17" s="21">
        <f t="shared" si="1"/>
        <v>199.99999999999997</v>
      </c>
      <c r="N17" s="16" t="s">
        <v>311</v>
      </c>
    </row>
    <row r="18" spans="1:14" x14ac:dyDescent="0.25">
      <c r="A18" s="16">
        <v>2</v>
      </c>
      <c r="B18" s="18">
        <v>46244</v>
      </c>
      <c r="C18" s="17">
        <v>46249</v>
      </c>
      <c r="D18" s="16" t="s">
        <v>76</v>
      </c>
      <c r="E18" s="44"/>
      <c r="F18" s="54"/>
      <c r="G18" s="54"/>
      <c r="H18" s="51" t="s">
        <v>75</v>
      </c>
      <c r="I18" s="36">
        <v>6</v>
      </c>
      <c r="J18" s="21">
        <v>30</v>
      </c>
      <c r="K18" s="20">
        <v>0</v>
      </c>
      <c r="L18" s="20">
        <v>0</v>
      </c>
      <c r="M18" s="21">
        <f t="shared" si="1"/>
        <v>180</v>
      </c>
      <c r="N18" s="16" t="s">
        <v>311</v>
      </c>
    </row>
    <row r="19" spans="1:14" x14ac:dyDescent="0.25">
      <c r="A19" s="16">
        <v>2</v>
      </c>
      <c r="B19" s="18">
        <v>46244</v>
      </c>
      <c r="C19" s="17">
        <v>46249</v>
      </c>
      <c r="D19" s="16" t="s">
        <v>203</v>
      </c>
      <c r="E19" s="44">
        <v>16654228</v>
      </c>
      <c r="F19" s="54"/>
      <c r="G19" s="54"/>
      <c r="H19" s="51" t="s">
        <v>82</v>
      </c>
      <c r="I19" s="36">
        <v>6</v>
      </c>
      <c r="J19" s="21">
        <v>43.3</v>
      </c>
      <c r="K19" s="20">
        <v>0.2</v>
      </c>
      <c r="L19" s="20">
        <v>0</v>
      </c>
      <c r="M19" s="21">
        <f t="shared" si="1"/>
        <v>259.99999999999994</v>
      </c>
      <c r="N19" s="16" t="s">
        <v>311</v>
      </c>
    </row>
    <row r="20" spans="1:14" x14ac:dyDescent="0.25">
      <c r="A20" s="16">
        <v>2</v>
      </c>
      <c r="B20" s="18">
        <v>46244</v>
      </c>
      <c r="C20" s="17">
        <v>46249</v>
      </c>
      <c r="D20" s="16" t="s">
        <v>306</v>
      </c>
      <c r="E20" s="44">
        <v>14806836</v>
      </c>
      <c r="F20" s="58" t="s">
        <v>307</v>
      </c>
      <c r="G20" s="54" t="s">
        <v>199</v>
      </c>
      <c r="H20" s="51" t="s">
        <v>81</v>
      </c>
      <c r="I20" s="36">
        <v>6</v>
      </c>
      <c r="J20" s="21">
        <v>30</v>
      </c>
      <c r="K20" s="20">
        <v>0</v>
      </c>
      <c r="L20" s="20">
        <v>0</v>
      </c>
      <c r="M20" s="21">
        <f t="shared" si="1"/>
        <v>180</v>
      </c>
      <c r="N20" s="16" t="s">
        <v>311</v>
      </c>
    </row>
    <row r="21" spans="1:14" x14ac:dyDescent="0.25">
      <c r="A21" s="16">
        <v>2</v>
      </c>
      <c r="B21" s="18">
        <v>46244</v>
      </c>
      <c r="C21" s="17">
        <v>46249</v>
      </c>
      <c r="D21" s="16" t="s">
        <v>120</v>
      </c>
      <c r="E21" s="44">
        <v>18620608</v>
      </c>
      <c r="F21" s="58" t="s">
        <v>206</v>
      </c>
      <c r="G21" s="54" t="s">
        <v>195</v>
      </c>
      <c r="H21" s="51" t="s">
        <v>81</v>
      </c>
      <c r="I21" s="36">
        <v>6</v>
      </c>
      <c r="J21" s="21">
        <v>30</v>
      </c>
      <c r="K21" s="20">
        <v>0</v>
      </c>
      <c r="L21" s="20">
        <v>0</v>
      </c>
      <c r="M21" s="21">
        <f t="shared" si="1"/>
        <v>180</v>
      </c>
      <c r="N21" s="16" t="s">
        <v>311</v>
      </c>
    </row>
    <row r="22" spans="1:14" x14ac:dyDescent="0.25">
      <c r="A22" s="16">
        <v>2</v>
      </c>
      <c r="B22" s="18">
        <v>46244</v>
      </c>
      <c r="C22" s="17">
        <v>46249</v>
      </c>
      <c r="D22" s="16" t="s">
        <v>118</v>
      </c>
      <c r="E22" s="44">
        <v>11953356</v>
      </c>
      <c r="F22" s="58" t="s">
        <v>196</v>
      </c>
      <c r="G22" s="54" t="s">
        <v>197</v>
      </c>
      <c r="H22" s="51" t="s">
        <v>81</v>
      </c>
      <c r="I22" s="36">
        <v>6</v>
      </c>
      <c r="J22" s="21">
        <v>30</v>
      </c>
      <c r="K22" s="20">
        <v>0</v>
      </c>
      <c r="L22" s="20">
        <v>0</v>
      </c>
      <c r="M22" s="21">
        <f t="shared" si="1"/>
        <v>180</v>
      </c>
      <c r="N22" s="16" t="s">
        <v>311</v>
      </c>
    </row>
    <row r="23" spans="1:14" x14ac:dyDescent="0.25">
      <c r="A23" s="16">
        <v>2</v>
      </c>
      <c r="B23" s="18">
        <v>46244</v>
      </c>
      <c r="C23" s="17">
        <v>46249</v>
      </c>
      <c r="D23" s="16" t="s">
        <v>312</v>
      </c>
      <c r="E23" s="44">
        <v>14699138</v>
      </c>
      <c r="F23" s="58" t="s">
        <v>313</v>
      </c>
      <c r="G23" s="54" t="s">
        <v>195</v>
      </c>
      <c r="H23" s="51" t="s">
        <v>81</v>
      </c>
      <c r="I23" s="36">
        <v>6</v>
      </c>
      <c r="J23" s="21">
        <v>30</v>
      </c>
      <c r="K23" s="20">
        <v>0</v>
      </c>
      <c r="L23" s="20">
        <v>0</v>
      </c>
      <c r="M23" s="21">
        <f t="shared" si="1"/>
        <v>180</v>
      </c>
      <c r="N23" s="16" t="s">
        <v>311</v>
      </c>
    </row>
    <row r="24" spans="1:14" x14ac:dyDescent="0.25">
      <c r="A24" s="16">
        <v>2</v>
      </c>
      <c r="B24" s="18">
        <v>46244</v>
      </c>
      <c r="C24" s="17">
        <v>46249</v>
      </c>
      <c r="D24" s="16" t="s">
        <v>309</v>
      </c>
      <c r="E24" s="44">
        <v>15032245</v>
      </c>
      <c r="F24" s="58" t="s">
        <v>310</v>
      </c>
      <c r="G24" s="54"/>
      <c r="H24" s="51" t="s">
        <v>80</v>
      </c>
      <c r="I24" s="36">
        <v>6</v>
      </c>
      <c r="J24" s="21">
        <v>20</v>
      </c>
      <c r="K24" s="20">
        <v>0</v>
      </c>
      <c r="L24" s="20">
        <v>0</v>
      </c>
      <c r="M24" s="21">
        <f t="shared" si="1"/>
        <v>120</v>
      </c>
      <c r="N24" s="16" t="s">
        <v>311</v>
      </c>
    </row>
    <row r="25" spans="1:14" x14ac:dyDescent="0.25">
      <c r="A25" s="16">
        <v>2</v>
      </c>
      <c r="B25" s="18">
        <v>46244</v>
      </c>
      <c r="C25" s="17">
        <v>46249</v>
      </c>
      <c r="D25" s="16" t="s">
        <v>122</v>
      </c>
      <c r="E25" s="44">
        <v>14401299</v>
      </c>
      <c r="F25" s="58" t="s">
        <v>193</v>
      </c>
      <c r="G25" s="58" t="s">
        <v>195</v>
      </c>
      <c r="H25" s="16" t="s">
        <v>80</v>
      </c>
      <c r="I25" s="36">
        <v>6</v>
      </c>
      <c r="J25" s="21">
        <v>20</v>
      </c>
      <c r="K25" s="20">
        <v>0</v>
      </c>
      <c r="L25" s="20">
        <v>0</v>
      </c>
      <c r="M25" s="21">
        <f t="shared" si="1"/>
        <v>120</v>
      </c>
      <c r="N25" s="16" t="s">
        <v>311</v>
      </c>
    </row>
    <row r="26" spans="1:14" x14ac:dyDescent="0.25">
      <c r="A26" s="16">
        <v>2</v>
      </c>
      <c r="B26" s="18">
        <v>46244</v>
      </c>
      <c r="C26" s="17">
        <v>46249</v>
      </c>
      <c r="D26" s="16" t="s">
        <v>119</v>
      </c>
      <c r="E26" s="44">
        <v>17129701</v>
      </c>
      <c r="F26" s="58" t="s">
        <v>198</v>
      </c>
      <c r="G26" s="54" t="s">
        <v>199</v>
      </c>
      <c r="H26" s="16" t="s">
        <v>80</v>
      </c>
      <c r="I26" s="36">
        <v>6</v>
      </c>
      <c r="J26" s="21">
        <v>20</v>
      </c>
      <c r="K26" s="20">
        <v>0</v>
      </c>
      <c r="L26" s="20">
        <v>0</v>
      </c>
      <c r="M26" s="21">
        <f t="shared" si="1"/>
        <v>120</v>
      </c>
      <c r="N26" s="16" t="s">
        <v>311</v>
      </c>
    </row>
    <row r="27" spans="1:14" x14ac:dyDescent="0.25">
      <c r="A27" s="16">
        <v>2</v>
      </c>
      <c r="B27" s="18">
        <v>46244</v>
      </c>
      <c r="C27" s="17">
        <v>46249</v>
      </c>
      <c r="D27" s="16" t="s">
        <v>129</v>
      </c>
      <c r="E27" s="44">
        <v>26749609</v>
      </c>
      <c r="F27" s="58" t="s">
        <v>200</v>
      </c>
      <c r="G27" s="54" t="s">
        <v>199</v>
      </c>
      <c r="H27" s="16" t="s">
        <v>80</v>
      </c>
      <c r="I27" s="36">
        <v>6</v>
      </c>
      <c r="J27" s="21">
        <v>20</v>
      </c>
      <c r="K27" s="20">
        <v>0</v>
      </c>
      <c r="L27" s="20">
        <v>0</v>
      </c>
      <c r="M27" s="21">
        <f t="shared" si="1"/>
        <v>120</v>
      </c>
      <c r="N27" s="16" t="s">
        <v>311</v>
      </c>
    </row>
    <row r="28" spans="1:14" x14ac:dyDescent="0.25">
      <c r="A28" s="16">
        <v>2</v>
      </c>
      <c r="B28" s="18">
        <v>46244</v>
      </c>
      <c r="C28" s="17">
        <v>46249</v>
      </c>
      <c r="D28" s="16" t="s">
        <v>201</v>
      </c>
      <c r="E28" s="44">
        <v>17521849</v>
      </c>
      <c r="F28" s="58" t="s">
        <v>202</v>
      </c>
      <c r="G28" s="54" t="s">
        <v>199</v>
      </c>
      <c r="H28" s="16" t="s">
        <v>80</v>
      </c>
      <c r="I28" s="36">
        <v>6</v>
      </c>
      <c r="J28" s="21">
        <v>20</v>
      </c>
      <c r="K28" s="20">
        <v>0</v>
      </c>
      <c r="L28" s="20">
        <v>0</v>
      </c>
      <c r="M28" s="21">
        <f t="shared" si="1"/>
        <v>120</v>
      </c>
      <c r="N28" s="16" t="s">
        <v>311</v>
      </c>
    </row>
    <row r="29" spans="1:14" x14ac:dyDescent="0.25">
      <c r="A29" s="15">
        <v>2</v>
      </c>
      <c r="B29" s="18">
        <v>46235</v>
      </c>
      <c r="C29" s="17">
        <v>46249</v>
      </c>
      <c r="D29" s="16" t="s">
        <v>314</v>
      </c>
      <c r="E29" s="44">
        <v>11157971</v>
      </c>
      <c r="F29" s="58" t="s">
        <v>315</v>
      </c>
      <c r="G29" s="54" t="s">
        <v>199</v>
      </c>
      <c r="H29" s="51" t="s">
        <v>316</v>
      </c>
      <c r="I29" s="36">
        <v>15</v>
      </c>
      <c r="J29" s="21">
        <v>33.299999999999997</v>
      </c>
      <c r="K29" s="20">
        <v>0.5</v>
      </c>
      <c r="L29" s="20">
        <v>0</v>
      </c>
      <c r="M29" s="21">
        <f t="shared" si="1"/>
        <v>499.99999999999994</v>
      </c>
      <c r="N29" s="16" t="s">
        <v>316</v>
      </c>
    </row>
    <row r="30" spans="1:14" x14ac:dyDescent="0.25">
      <c r="A30" s="15"/>
      <c r="B30" s="18"/>
      <c r="C30" s="17"/>
      <c r="D30" s="16"/>
      <c r="E30" s="44"/>
      <c r="F30" s="54"/>
      <c r="G30" s="54"/>
      <c r="H30" s="51"/>
      <c r="I30" s="36"/>
      <c r="J30" s="21"/>
      <c r="K30" s="20"/>
      <c r="L30" s="20"/>
      <c r="M30" s="21"/>
      <c r="N30" s="16"/>
    </row>
    <row r="31" spans="1:14" x14ac:dyDescent="0.25">
      <c r="A31" s="15"/>
      <c r="B31" s="18"/>
      <c r="C31" s="17"/>
      <c r="D31" s="16"/>
      <c r="E31" s="44"/>
      <c r="F31" s="54"/>
      <c r="G31" s="54"/>
      <c r="H31" s="51"/>
      <c r="I31" s="36"/>
      <c r="J31" s="21"/>
      <c r="K31" s="20"/>
      <c r="L31" s="20"/>
      <c r="M31" s="21"/>
      <c r="N31" s="16"/>
    </row>
    <row r="32" spans="1:14" x14ac:dyDescent="0.25">
      <c r="A32" s="15"/>
      <c r="B32" s="18"/>
      <c r="C32" s="17"/>
      <c r="D32" s="16"/>
      <c r="E32" s="44"/>
      <c r="F32" s="54"/>
      <c r="G32" s="54"/>
      <c r="H32" s="51"/>
      <c r="I32" s="36"/>
      <c r="J32" s="21"/>
      <c r="K32" s="20"/>
      <c r="L32" s="20"/>
      <c r="M32" s="21"/>
      <c r="N32" s="16"/>
    </row>
    <row r="33" spans="1:14" x14ac:dyDescent="0.25">
      <c r="A33" s="15"/>
      <c r="B33" s="18"/>
      <c r="C33" s="17"/>
      <c r="D33" s="16"/>
      <c r="E33" s="44"/>
      <c r="F33" s="54"/>
      <c r="G33" s="54"/>
      <c r="H33" s="51"/>
      <c r="I33" s="36"/>
      <c r="J33" s="21"/>
      <c r="K33" s="20"/>
      <c r="L33" s="20"/>
      <c r="M33" s="21"/>
      <c r="N33" s="16"/>
    </row>
    <row r="34" spans="1:14" x14ac:dyDescent="0.25">
      <c r="A34" s="15"/>
      <c r="B34" s="18"/>
      <c r="C34" s="17"/>
      <c r="D34" s="16"/>
      <c r="E34" s="44"/>
      <c r="F34" s="54"/>
      <c r="G34" s="54"/>
      <c r="H34" s="51"/>
      <c r="I34" s="36"/>
      <c r="J34" s="21"/>
      <c r="K34" s="20"/>
      <c r="L34" s="20"/>
      <c r="M34" s="21"/>
      <c r="N34" s="16"/>
    </row>
    <row r="35" spans="1:14" x14ac:dyDescent="0.25">
      <c r="A35" s="15"/>
      <c r="B35" s="18"/>
      <c r="C35" s="17"/>
      <c r="D35" s="16"/>
      <c r="E35" s="44"/>
      <c r="F35" s="54"/>
      <c r="G35" s="54"/>
      <c r="H35" s="51"/>
      <c r="I35" s="36"/>
      <c r="J35" s="21"/>
      <c r="K35" s="20"/>
      <c r="L35" s="20"/>
      <c r="M35" s="21"/>
      <c r="N35" s="16"/>
    </row>
    <row r="36" spans="1:14" x14ac:dyDescent="0.25">
      <c r="A36" s="15"/>
      <c r="B36" s="18"/>
      <c r="C36" s="17"/>
      <c r="D36" s="16"/>
      <c r="E36" s="44"/>
      <c r="F36" s="54"/>
      <c r="G36" s="54"/>
      <c r="H36" s="51"/>
      <c r="I36" s="36"/>
      <c r="J36" s="21"/>
      <c r="K36" s="20"/>
      <c r="L36" s="20"/>
      <c r="M36" s="21"/>
      <c r="N36" s="16"/>
    </row>
    <row r="37" spans="1:14" x14ac:dyDescent="0.25">
      <c r="A37" s="16"/>
      <c r="B37" s="16"/>
      <c r="C37" s="16"/>
      <c r="D37" s="16"/>
      <c r="E37" s="44"/>
      <c r="F37" s="54"/>
      <c r="G37" s="54"/>
      <c r="H37" s="16"/>
      <c r="I37" s="36"/>
      <c r="J37" s="21"/>
      <c r="K37" s="21"/>
      <c r="L37" s="21"/>
      <c r="M37" s="21">
        <f t="shared" si="1"/>
        <v>0</v>
      </c>
      <c r="N37" s="16"/>
    </row>
    <row r="38" spans="1:14" x14ac:dyDescent="0.25">
      <c r="A38" s="16"/>
      <c r="B38" s="16"/>
      <c r="C38" s="16"/>
      <c r="D38" s="16"/>
      <c r="E38" s="44"/>
      <c r="F38" s="54"/>
      <c r="G38" s="54"/>
      <c r="H38" s="16"/>
      <c r="I38" s="36"/>
      <c r="J38" s="21"/>
      <c r="K38" s="21"/>
      <c r="L38" s="21"/>
      <c r="M38" s="21">
        <f t="shared" si="1"/>
        <v>0</v>
      </c>
      <c r="N38" s="16"/>
    </row>
    <row r="39" spans="1:14" x14ac:dyDescent="0.25">
      <c r="A39" s="16"/>
      <c r="B39" s="16"/>
      <c r="C39" s="16"/>
      <c r="D39" s="16"/>
      <c r="E39" s="44"/>
      <c r="F39" s="54"/>
      <c r="G39" s="54"/>
      <c r="H39" s="16"/>
      <c r="I39" s="36"/>
      <c r="J39" s="21"/>
      <c r="K39" s="21"/>
      <c r="L39" s="21"/>
      <c r="M39" s="21">
        <f t="shared" si="1"/>
        <v>0</v>
      </c>
      <c r="N39" s="16"/>
    </row>
    <row r="40" spans="1:14" x14ac:dyDescent="0.25">
      <c r="A40" s="16"/>
      <c r="B40" s="16"/>
      <c r="C40" s="16"/>
      <c r="D40" s="16"/>
      <c r="E40" s="44"/>
      <c r="F40" s="54"/>
      <c r="G40" s="54"/>
      <c r="H40" s="16"/>
      <c r="I40" s="36"/>
      <c r="J40" s="21"/>
      <c r="K40" s="21"/>
      <c r="L40" s="21"/>
      <c r="M40" s="21">
        <f t="shared" si="1"/>
        <v>0</v>
      </c>
      <c r="N40" s="16"/>
    </row>
    <row r="41" spans="1:14" x14ac:dyDescent="0.25">
      <c r="A41" s="16"/>
      <c r="B41" s="16"/>
      <c r="C41" s="16"/>
      <c r="D41" s="16"/>
      <c r="E41" s="44"/>
      <c r="F41" s="54"/>
      <c r="G41" s="54"/>
      <c r="H41" s="16"/>
      <c r="I41" s="36"/>
      <c r="J41" s="21"/>
      <c r="K41" s="21"/>
      <c r="L41" s="21"/>
      <c r="M41" s="21">
        <f t="shared" si="1"/>
        <v>0</v>
      </c>
      <c r="N41" s="16"/>
    </row>
    <row r="42" spans="1:14" x14ac:dyDescent="0.25">
      <c r="A42" s="16"/>
      <c r="B42" s="16"/>
      <c r="C42" s="16"/>
      <c r="D42" s="16"/>
      <c r="E42" s="44"/>
      <c r="F42" s="54"/>
      <c r="G42" s="54"/>
      <c r="H42" s="16"/>
      <c r="I42" s="36"/>
      <c r="J42" s="21"/>
      <c r="K42" s="21"/>
      <c r="L42" s="21"/>
      <c r="M42" s="21">
        <f t="shared" si="1"/>
        <v>0</v>
      </c>
      <c r="N42" s="16"/>
    </row>
    <row r="43" spans="1:14" x14ac:dyDescent="0.25">
      <c r="A43" s="16"/>
      <c r="B43" s="16"/>
      <c r="C43" s="16"/>
      <c r="D43" s="16"/>
      <c r="E43" s="44"/>
      <c r="F43" s="54"/>
      <c r="G43" s="54"/>
      <c r="H43" s="16"/>
      <c r="I43" s="36"/>
      <c r="J43" s="21"/>
      <c r="K43" s="21"/>
      <c r="L43" s="21"/>
      <c r="M43" s="21">
        <f t="shared" si="1"/>
        <v>0</v>
      </c>
      <c r="N43" s="16"/>
    </row>
    <row r="44" spans="1:14" x14ac:dyDescent="0.25">
      <c r="A44" s="16"/>
      <c r="B44" s="16"/>
      <c r="C44" s="16"/>
      <c r="D44" s="16"/>
      <c r="E44" s="44"/>
      <c r="F44" s="54"/>
      <c r="G44" s="54"/>
      <c r="H44" s="16"/>
      <c r="I44" s="36"/>
      <c r="J44" s="21"/>
      <c r="K44" s="21"/>
      <c r="L44" s="21"/>
      <c r="M44" s="21">
        <f t="shared" si="1"/>
        <v>0</v>
      </c>
      <c r="N44" s="16"/>
    </row>
    <row r="45" spans="1:14" x14ac:dyDescent="0.25">
      <c r="A45" s="16"/>
      <c r="B45" s="16"/>
      <c r="C45" s="16"/>
      <c r="D45" s="16"/>
      <c r="E45" s="44"/>
      <c r="F45" s="54"/>
      <c r="G45" s="54"/>
      <c r="H45" s="16"/>
      <c r="I45" s="36"/>
      <c r="J45" s="21"/>
      <c r="K45" s="21"/>
      <c r="L45" s="21"/>
      <c r="M45" s="21">
        <f t="shared" si="1"/>
        <v>0</v>
      </c>
      <c r="N45" s="16"/>
    </row>
    <row r="46" spans="1:14" x14ac:dyDescent="0.25">
      <c r="A46" s="22"/>
      <c r="B46" s="22"/>
      <c r="C46" s="22"/>
      <c r="D46" s="22"/>
      <c r="E46" s="45"/>
      <c r="F46" s="55"/>
      <c r="G46" s="55"/>
      <c r="H46" s="22"/>
      <c r="I46" s="38"/>
      <c r="J46" s="23"/>
      <c r="K46" s="23"/>
      <c r="L46" s="23"/>
      <c r="M46" s="23">
        <f t="shared" si="1"/>
        <v>0</v>
      </c>
      <c r="N46" s="22"/>
    </row>
    <row r="47" spans="1:14" x14ac:dyDescent="0.25">
      <c r="A47" s="5" t="s">
        <v>68</v>
      </c>
      <c r="B47" s="5"/>
      <c r="C47" s="11"/>
      <c r="D47" s="11"/>
      <c r="E47" s="46"/>
      <c r="F47" s="56"/>
      <c r="G47" s="56"/>
      <c r="H47" s="11"/>
      <c r="I47" s="39"/>
      <c r="J47" s="11"/>
      <c r="K47" s="11"/>
      <c r="L47" s="11"/>
      <c r="M47" s="6">
        <f>SUM(M5:M46)</f>
        <v>4544.8999999999996</v>
      </c>
      <c r="N47" s="11"/>
    </row>
    <row r="48" spans="1:14" x14ac:dyDescent="0.25">
      <c r="M48" s="41"/>
    </row>
  </sheetData>
  <mergeCells count="1">
    <mergeCell ref="A1:N2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0C87-8181-42E0-A624-D804B967B5A0}">
  <dimension ref="A2:L15"/>
  <sheetViews>
    <sheetView zoomScale="150" zoomScaleNormal="150" workbookViewId="0">
      <selection activeCell="A11" sqref="A11:XFD11"/>
    </sheetView>
  </sheetViews>
  <sheetFormatPr baseColWidth="10" defaultRowHeight="15" x14ac:dyDescent="0.25"/>
  <cols>
    <col min="1" max="1" width="29.85546875" bestFit="1" customWidth="1"/>
    <col min="3" max="3" width="21.28515625" bestFit="1" customWidth="1"/>
    <col min="6" max="9" width="0" hidden="1" customWidth="1"/>
    <col min="10" max="10" width="11.5703125" bestFit="1" customWidth="1"/>
    <col min="12" max="12" width="14.5703125" bestFit="1" customWidth="1"/>
  </cols>
  <sheetData>
    <row r="2" spans="1:12" x14ac:dyDescent="0.25">
      <c r="A2" s="16" t="s">
        <v>79</v>
      </c>
      <c r="B2" s="44"/>
      <c r="C2" s="54"/>
      <c r="D2" s="54"/>
      <c r="E2" s="51" t="s">
        <v>78</v>
      </c>
      <c r="F2" s="36">
        <v>6</v>
      </c>
      <c r="G2" s="21">
        <v>33.299999999999997</v>
      </c>
      <c r="H2" s="66">
        <v>0.2</v>
      </c>
      <c r="I2" s="66">
        <v>0</v>
      </c>
      <c r="J2" s="21">
        <f t="shared" ref="J2:J13" si="0">IF(F2&lt;&gt;"", (F2*G2)+H2-I2, 0)</f>
        <v>199.99999999999997</v>
      </c>
      <c r="K2" s="21">
        <v>771.07</v>
      </c>
      <c r="L2" s="21">
        <f>J2*K2</f>
        <v>154214</v>
      </c>
    </row>
    <row r="3" spans="1:12" x14ac:dyDescent="0.25">
      <c r="A3" s="67" t="s">
        <v>76</v>
      </c>
      <c r="B3" s="44"/>
      <c r="C3" s="54"/>
      <c r="D3" s="54"/>
      <c r="E3" s="51" t="s">
        <v>75</v>
      </c>
      <c r="F3" s="36">
        <v>6</v>
      </c>
      <c r="G3" s="21">
        <v>30</v>
      </c>
      <c r="H3" s="66">
        <v>0</v>
      </c>
      <c r="I3" s="66">
        <v>0</v>
      </c>
      <c r="J3" s="21">
        <f t="shared" si="0"/>
        <v>180</v>
      </c>
      <c r="K3" s="21">
        <v>771.07</v>
      </c>
      <c r="L3" s="21">
        <f t="shared" ref="L3:L13" si="1">J3*K3</f>
        <v>138792.6</v>
      </c>
    </row>
    <row r="4" spans="1:12" x14ac:dyDescent="0.25">
      <c r="A4" s="67" t="s">
        <v>203</v>
      </c>
      <c r="B4" s="44">
        <v>16654228</v>
      </c>
      <c r="C4" s="54"/>
      <c r="D4" s="54"/>
      <c r="E4" s="51" t="s">
        <v>82</v>
      </c>
      <c r="F4" s="36">
        <v>6</v>
      </c>
      <c r="G4" s="21">
        <v>43.3</v>
      </c>
      <c r="H4" s="66">
        <v>0.2</v>
      </c>
      <c r="I4" s="66">
        <v>0</v>
      </c>
      <c r="J4" s="21">
        <f t="shared" si="0"/>
        <v>259.99999999999994</v>
      </c>
      <c r="K4" s="21">
        <v>771.07</v>
      </c>
      <c r="L4" s="21">
        <f t="shared" si="1"/>
        <v>200478.19999999998</v>
      </c>
    </row>
    <row r="5" spans="1:12" x14ac:dyDescent="0.25">
      <c r="A5" s="67" t="s">
        <v>306</v>
      </c>
      <c r="B5" s="44">
        <v>14806836</v>
      </c>
      <c r="C5" s="58" t="s">
        <v>307</v>
      </c>
      <c r="D5" s="54" t="s">
        <v>199</v>
      </c>
      <c r="E5" s="51" t="s">
        <v>81</v>
      </c>
      <c r="F5" s="36">
        <v>6</v>
      </c>
      <c r="G5" s="21">
        <v>30</v>
      </c>
      <c r="H5" s="66">
        <v>0</v>
      </c>
      <c r="I5" s="66">
        <v>0</v>
      </c>
      <c r="J5" s="21">
        <f t="shared" si="0"/>
        <v>180</v>
      </c>
      <c r="K5" s="21">
        <v>771.07</v>
      </c>
      <c r="L5" s="21">
        <f t="shared" si="1"/>
        <v>138792.6</v>
      </c>
    </row>
    <row r="6" spans="1:12" x14ac:dyDescent="0.25">
      <c r="A6" s="67" t="s">
        <v>120</v>
      </c>
      <c r="B6" s="44">
        <v>18620608</v>
      </c>
      <c r="C6" s="58" t="s">
        <v>206</v>
      </c>
      <c r="D6" s="54" t="s">
        <v>195</v>
      </c>
      <c r="E6" s="51" t="s">
        <v>81</v>
      </c>
      <c r="F6" s="36">
        <v>6</v>
      </c>
      <c r="G6" s="21">
        <v>30</v>
      </c>
      <c r="H6" s="66">
        <v>0</v>
      </c>
      <c r="I6" s="66">
        <v>0</v>
      </c>
      <c r="J6" s="21">
        <f t="shared" si="0"/>
        <v>180</v>
      </c>
      <c r="K6" s="21">
        <v>771.07</v>
      </c>
      <c r="L6" s="21">
        <f t="shared" si="1"/>
        <v>138792.6</v>
      </c>
    </row>
    <row r="7" spans="1:12" x14ac:dyDescent="0.25">
      <c r="A7" s="67" t="s">
        <v>118</v>
      </c>
      <c r="B7" s="44">
        <v>11953356</v>
      </c>
      <c r="C7" s="58" t="s">
        <v>196</v>
      </c>
      <c r="D7" s="54" t="s">
        <v>197</v>
      </c>
      <c r="E7" s="51" t="s">
        <v>81</v>
      </c>
      <c r="F7" s="36">
        <v>6</v>
      </c>
      <c r="G7" s="21">
        <v>30</v>
      </c>
      <c r="H7" s="66">
        <v>0</v>
      </c>
      <c r="I7" s="66">
        <v>0</v>
      </c>
      <c r="J7" s="21">
        <f t="shared" si="0"/>
        <v>180</v>
      </c>
      <c r="K7" s="21">
        <v>771.07</v>
      </c>
      <c r="L7" s="21">
        <f t="shared" si="1"/>
        <v>138792.6</v>
      </c>
    </row>
    <row r="8" spans="1:12" x14ac:dyDescent="0.25">
      <c r="A8" s="67" t="s">
        <v>312</v>
      </c>
      <c r="B8" s="44">
        <v>14699138</v>
      </c>
      <c r="C8" s="58" t="s">
        <v>313</v>
      </c>
      <c r="D8" s="54" t="s">
        <v>195</v>
      </c>
      <c r="E8" s="51" t="s">
        <v>81</v>
      </c>
      <c r="F8" s="36">
        <v>6</v>
      </c>
      <c r="G8" s="21">
        <v>30</v>
      </c>
      <c r="H8" s="66">
        <v>0</v>
      </c>
      <c r="I8" s="66">
        <v>0</v>
      </c>
      <c r="J8" s="21">
        <f t="shared" si="0"/>
        <v>180</v>
      </c>
      <c r="K8" s="21">
        <v>771.07</v>
      </c>
      <c r="L8" s="21">
        <f t="shared" si="1"/>
        <v>138792.6</v>
      </c>
    </row>
    <row r="9" spans="1:12" x14ac:dyDescent="0.25">
      <c r="A9" s="67" t="s">
        <v>309</v>
      </c>
      <c r="B9" s="44">
        <v>15032245</v>
      </c>
      <c r="C9" s="58" t="s">
        <v>310</v>
      </c>
      <c r="D9" s="54"/>
      <c r="E9" s="51" t="s">
        <v>80</v>
      </c>
      <c r="F9" s="36">
        <v>6</v>
      </c>
      <c r="G9" s="21">
        <v>20</v>
      </c>
      <c r="H9" s="66">
        <v>0</v>
      </c>
      <c r="I9" s="66">
        <v>0</v>
      </c>
      <c r="J9" s="21">
        <f t="shared" si="0"/>
        <v>120</v>
      </c>
      <c r="K9" s="21">
        <v>771.07</v>
      </c>
      <c r="L9" s="21">
        <f t="shared" si="1"/>
        <v>92528.400000000009</v>
      </c>
    </row>
    <row r="10" spans="1:12" x14ac:dyDescent="0.25">
      <c r="A10" s="67" t="s">
        <v>122</v>
      </c>
      <c r="B10" s="44">
        <v>14401299</v>
      </c>
      <c r="C10" s="58" t="s">
        <v>193</v>
      </c>
      <c r="D10" s="58" t="s">
        <v>195</v>
      </c>
      <c r="E10" s="16" t="s">
        <v>80</v>
      </c>
      <c r="F10" s="36">
        <v>6</v>
      </c>
      <c r="G10" s="21">
        <v>20</v>
      </c>
      <c r="H10" s="66">
        <v>0</v>
      </c>
      <c r="I10" s="66">
        <v>0</v>
      </c>
      <c r="J10" s="21">
        <f t="shared" si="0"/>
        <v>120</v>
      </c>
      <c r="K10" s="21">
        <v>771.07</v>
      </c>
      <c r="L10" s="21">
        <f t="shared" si="1"/>
        <v>92528.400000000009</v>
      </c>
    </row>
    <row r="11" spans="1:12" x14ac:dyDescent="0.25">
      <c r="A11" s="67" t="s">
        <v>119</v>
      </c>
      <c r="B11" s="44">
        <v>17129701</v>
      </c>
      <c r="C11" s="58" t="s">
        <v>198</v>
      </c>
      <c r="D11" s="54" t="s">
        <v>199</v>
      </c>
      <c r="E11" s="16" t="s">
        <v>80</v>
      </c>
      <c r="F11" s="36">
        <v>6</v>
      </c>
      <c r="G11" s="21">
        <v>20</v>
      </c>
      <c r="H11" s="66">
        <v>0</v>
      </c>
      <c r="I11" s="66">
        <v>0</v>
      </c>
      <c r="J11" s="21">
        <f t="shared" si="0"/>
        <v>120</v>
      </c>
      <c r="K11" s="21">
        <v>771.07</v>
      </c>
      <c r="L11" s="21">
        <f t="shared" si="1"/>
        <v>92528.400000000009</v>
      </c>
    </row>
    <row r="12" spans="1:12" x14ac:dyDescent="0.25">
      <c r="A12" s="67" t="s">
        <v>129</v>
      </c>
      <c r="B12" s="44">
        <v>26749609</v>
      </c>
      <c r="C12" s="58" t="s">
        <v>200</v>
      </c>
      <c r="D12" s="54" t="s">
        <v>199</v>
      </c>
      <c r="E12" s="16" t="s">
        <v>80</v>
      </c>
      <c r="F12" s="36">
        <v>6</v>
      </c>
      <c r="G12" s="21">
        <v>20</v>
      </c>
      <c r="H12" s="66">
        <v>0</v>
      </c>
      <c r="I12" s="66">
        <v>0</v>
      </c>
      <c r="J12" s="21">
        <f t="shared" si="0"/>
        <v>120</v>
      </c>
      <c r="K12" s="21">
        <v>771.07</v>
      </c>
      <c r="L12" s="21">
        <f t="shared" si="1"/>
        <v>92528.400000000009</v>
      </c>
    </row>
    <row r="13" spans="1:12" x14ac:dyDescent="0.25">
      <c r="A13" s="67" t="s">
        <v>201</v>
      </c>
      <c r="B13" s="44">
        <v>17521849</v>
      </c>
      <c r="C13" s="58" t="s">
        <v>202</v>
      </c>
      <c r="D13" s="54" t="s">
        <v>199</v>
      </c>
      <c r="E13" s="16" t="s">
        <v>80</v>
      </c>
      <c r="F13" s="36">
        <v>6</v>
      </c>
      <c r="G13" s="21">
        <v>20</v>
      </c>
      <c r="H13" s="66">
        <v>0</v>
      </c>
      <c r="I13" s="66">
        <v>0</v>
      </c>
      <c r="J13" s="21">
        <f t="shared" si="0"/>
        <v>120</v>
      </c>
      <c r="K13" s="21">
        <v>771.07</v>
      </c>
      <c r="L13" s="21">
        <f t="shared" si="1"/>
        <v>92528.400000000009</v>
      </c>
    </row>
    <row r="15" spans="1:12" x14ac:dyDescent="0.25">
      <c r="J15" s="13">
        <v>1960</v>
      </c>
      <c r="K15" s="13"/>
      <c r="L15" s="13">
        <v>1511297.2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454A-3CD6-40CF-8373-639C55CB3651}">
  <dimension ref="A1:J12"/>
  <sheetViews>
    <sheetView workbookViewId="0">
      <selection activeCell="E15" sqref="E15"/>
    </sheetView>
  </sheetViews>
  <sheetFormatPr baseColWidth="10" defaultRowHeight="15" x14ac:dyDescent="0.25"/>
  <cols>
    <col min="1" max="1" width="29.85546875" bestFit="1" customWidth="1"/>
    <col min="3" max="3" width="21.28515625" bestFit="1" customWidth="1"/>
  </cols>
  <sheetData>
    <row r="1" spans="1:10" x14ac:dyDescent="0.25">
      <c r="A1" s="16" t="s">
        <v>79</v>
      </c>
      <c r="B1" s="44"/>
      <c r="C1" s="54"/>
      <c r="D1" s="54"/>
      <c r="E1" s="51" t="s">
        <v>78</v>
      </c>
      <c r="F1" s="36">
        <v>6</v>
      </c>
      <c r="G1" s="21">
        <v>33.299999999999997</v>
      </c>
      <c r="H1" s="66">
        <v>0.2</v>
      </c>
      <c r="I1" s="66">
        <v>0</v>
      </c>
      <c r="J1" s="21">
        <f t="shared" ref="J1:J12" si="0">IF(F1&lt;&gt;"", (F1*G1)+H1-I1, 0)</f>
        <v>199.99999999999997</v>
      </c>
    </row>
    <row r="2" spans="1:10" x14ac:dyDescent="0.25">
      <c r="A2" s="16" t="s">
        <v>76</v>
      </c>
      <c r="B2" s="44"/>
      <c r="C2" s="54"/>
      <c r="D2" s="54"/>
      <c r="E2" s="51" t="s">
        <v>75</v>
      </c>
      <c r="F2" s="36">
        <v>6</v>
      </c>
      <c r="G2" s="21">
        <v>30</v>
      </c>
      <c r="H2" s="66">
        <v>0</v>
      </c>
      <c r="I2" s="66">
        <v>0</v>
      </c>
      <c r="J2" s="21">
        <f t="shared" si="0"/>
        <v>180</v>
      </c>
    </row>
    <row r="3" spans="1:10" x14ac:dyDescent="0.25">
      <c r="A3" s="16" t="s">
        <v>203</v>
      </c>
      <c r="B3" s="44">
        <v>16654228</v>
      </c>
      <c r="C3" s="54"/>
      <c r="D3" s="54"/>
      <c r="E3" s="51" t="s">
        <v>82</v>
      </c>
      <c r="F3" s="36">
        <v>6</v>
      </c>
      <c r="G3" s="21">
        <v>43.3</v>
      </c>
      <c r="H3" s="66">
        <v>0.2</v>
      </c>
      <c r="I3" s="66">
        <v>0</v>
      </c>
      <c r="J3" s="21">
        <f t="shared" si="0"/>
        <v>259.99999999999994</v>
      </c>
    </row>
    <row r="4" spans="1:10" x14ac:dyDescent="0.25">
      <c r="A4" s="16" t="s">
        <v>306</v>
      </c>
      <c r="B4" s="44">
        <v>14806836</v>
      </c>
      <c r="C4" s="58" t="s">
        <v>307</v>
      </c>
      <c r="D4" s="54" t="s">
        <v>199</v>
      </c>
      <c r="E4" s="51" t="s">
        <v>81</v>
      </c>
      <c r="F4" s="36">
        <v>6</v>
      </c>
      <c r="G4" s="21">
        <v>30</v>
      </c>
      <c r="H4" s="66">
        <v>0</v>
      </c>
      <c r="I4" s="66">
        <v>0</v>
      </c>
      <c r="J4" s="21">
        <f t="shared" si="0"/>
        <v>180</v>
      </c>
    </row>
    <row r="5" spans="1:10" x14ac:dyDescent="0.25">
      <c r="A5" s="16" t="s">
        <v>120</v>
      </c>
      <c r="B5" s="44">
        <v>18620608</v>
      </c>
      <c r="C5" s="58" t="s">
        <v>206</v>
      </c>
      <c r="D5" s="54" t="s">
        <v>195</v>
      </c>
      <c r="E5" s="51" t="s">
        <v>81</v>
      </c>
      <c r="F5" s="36">
        <v>6</v>
      </c>
      <c r="G5" s="21">
        <v>30</v>
      </c>
      <c r="H5" s="66">
        <v>0</v>
      </c>
      <c r="I5" s="66">
        <v>0</v>
      </c>
      <c r="J5" s="21">
        <f t="shared" si="0"/>
        <v>180</v>
      </c>
    </row>
    <row r="6" spans="1:10" x14ac:dyDescent="0.25">
      <c r="A6" s="16" t="s">
        <v>118</v>
      </c>
      <c r="B6" s="44">
        <v>11953356</v>
      </c>
      <c r="C6" s="58" t="s">
        <v>196</v>
      </c>
      <c r="D6" s="54" t="s">
        <v>197</v>
      </c>
      <c r="E6" s="51" t="s">
        <v>81</v>
      </c>
      <c r="F6" s="36">
        <v>6</v>
      </c>
      <c r="G6" s="21">
        <v>30</v>
      </c>
      <c r="H6" s="66">
        <v>0</v>
      </c>
      <c r="I6" s="66">
        <v>0</v>
      </c>
      <c r="J6" s="21">
        <f t="shared" si="0"/>
        <v>180</v>
      </c>
    </row>
    <row r="7" spans="1:10" x14ac:dyDescent="0.25">
      <c r="A7" s="16" t="s">
        <v>308</v>
      </c>
      <c r="B7" s="44"/>
      <c r="C7" s="54"/>
      <c r="D7" s="54"/>
      <c r="E7" s="51" t="s">
        <v>81</v>
      </c>
      <c r="F7" s="36">
        <v>6</v>
      </c>
      <c r="G7" s="21">
        <v>30</v>
      </c>
      <c r="H7" s="66">
        <v>0</v>
      </c>
      <c r="I7" s="66">
        <v>0</v>
      </c>
      <c r="J7" s="21">
        <f t="shared" si="0"/>
        <v>180</v>
      </c>
    </row>
    <row r="8" spans="1:10" x14ac:dyDescent="0.25">
      <c r="A8" s="16" t="s">
        <v>309</v>
      </c>
      <c r="B8" s="44">
        <v>15032245</v>
      </c>
      <c r="C8" s="58" t="s">
        <v>310</v>
      </c>
      <c r="D8" s="54"/>
      <c r="E8" s="51" t="s">
        <v>80</v>
      </c>
      <c r="F8" s="36">
        <v>6</v>
      </c>
      <c r="G8" s="21">
        <v>20</v>
      </c>
      <c r="H8" s="66">
        <v>0</v>
      </c>
      <c r="I8" s="66">
        <v>0</v>
      </c>
      <c r="J8" s="21">
        <f t="shared" si="0"/>
        <v>120</v>
      </c>
    </row>
    <row r="9" spans="1:10" x14ac:dyDescent="0.25">
      <c r="A9" s="16" t="s">
        <v>122</v>
      </c>
      <c r="B9" s="44">
        <v>14401299</v>
      </c>
      <c r="C9" s="58" t="s">
        <v>193</v>
      </c>
      <c r="D9" s="58" t="s">
        <v>195</v>
      </c>
      <c r="E9" s="16" t="s">
        <v>80</v>
      </c>
      <c r="F9" s="36">
        <v>6</v>
      </c>
      <c r="G9" s="21">
        <v>20</v>
      </c>
      <c r="H9" s="66">
        <v>0</v>
      </c>
      <c r="I9" s="66">
        <v>0</v>
      </c>
      <c r="J9" s="21">
        <f t="shared" si="0"/>
        <v>120</v>
      </c>
    </row>
    <row r="10" spans="1:10" x14ac:dyDescent="0.25">
      <c r="A10" s="16" t="s">
        <v>119</v>
      </c>
      <c r="B10" s="44">
        <v>17129701</v>
      </c>
      <c r="C10" s="58" t="s">
        <v>198</v>
      </c>
      <c r="D10" s="54" t="s">
        <v>199</v>
      </c>
      <c r="E10" s="16" t="s">
        <v>80</v>
      </c>
      <c r="F10" s="36">
        <v>6</v>
      </c>
      <c r="G10" s="21">
        <v>20</v>
      </c>
      <c r="H10" s="66">
        <v>0</v>
      </c>
      <c r="I10" s="66">
        <v>0</v>
      </c>
      <c r="J10" s="21">
        <f t="shared" si="0"/>
        <v>120</v>
      </c>
    </row>
    <row r="11" spans="1:10" x14ac:dyDescent="0.25">
      <c r="A11" s="16" t="s">
        <v>129</v>
      </c>
      <c r="B11" s="44">
        <v>26749609</v>
      </c>
      <c r="C11" s="58" t="s">
        <v>200</v>
      </c>
      <c r="D11" s="54" t="s">
        <v>199</v>
      </c>
      <c r="E11" s="16" t="s">
        <v>80</v>
      </c>
      <c r="F11" s="36">
        <v>6</v>
      </c>
      <c r="G11" s="21">
        <v>20</v>
      </c>
      <c r="H11" s="66">
        <v>0</v>
      </c>
      <c r="I11" s="66">
        <v>0</v>
      </c>
      <c r="J11" s="21">
        <f t="shared" si="0"/>
        <v>120</v>
      </c>
    </row>
    <row r="12" spans="1:10" x14ac:dyDescent="0.25">
      <c r="A12" s="16" t="s">
        <v>201</v>
      </c>
      <c r="B12" s="44">
        <v>17521849</v>
      </c>
      <c r="C12" s="58" t="s">
        <v>202</v>
      </c>
      <c r="D12" s="54" t="s">
        <v>199</v>
      </c>
      <c r="E12" s="16" t="s">
        <v>80</v>
      </c>
      <c r="F12" s="36">
        <v>6</v>
      </c>
      <c r="G12" s="21">
        <v>20</v>
      </c>
      <c r="H12" s="66">
        <v>0</v>
      </c>
      <c r="I12" s="66">
        <v>0</v>
      </c>
      <c r="J12" s="21">
        <f t="shared" si="0"/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11D5-1F0A-484C-A444-73D3132573CC}">
  <dimension ref="A1:I7"/>
  <sheetViews>
    <sheetView workbookViewId="0">
      <selection activeCell="I10" sqref="I10"/>
    </sheetView>
  </sheetViews>
  <sheetFormatPr baseColWidth="10" defaultRowHeight="15" x14ac:dyDescent="0.25"/>
  <cols>
    <col min="1" max="1" width="12.28515625" bestFit="1" customWidth="1"/>
    <col min="2" max="3" width="4.28515625" customWidth="1"/>
    <col min="4" max="4" width="4" customWidth="1"/>
    <col min="6" max="6" width="11.42578125" style="13"/>
  </cols>
  <sheetData>
    <row r="1" spans="1:9" x14ac:dyDescent="0.25">
      <c r="H1" t="s">
        <v>121</v>
      </c>
    </row>
    <row r="2" spans="1:9" x14ac:dyDescent="0.25">
      <c r="A2" t="s">
        <v>75</v>
      </c>
      <c r="B2" t="s">
        <v>76</v>
      </c>
      <c r="C2">
        <v>180</v>
      </c>
      <c r="D2" t="s">
        <v>77</v>
      </c>
      <c r="E2">
        <v>6</v>
      </c>
      <c r="F2" s="13">
        <f>C2*E2</f>
        <v>1080</v>
      </c>
      <c r="H2">
        <v>30</v>
      </c>
    </row>
    <row r="3" spans="1:9" x14ac:dyDescent="0.25">
      <c r="A3" t="s">
        <v>78</v>
      </c>
      <c r="B3" t="s">
        <v>79</v>
      </c>
      <c r="C3">
        <v>200</v>
      </c>
      <c r="D3" t="s">
        <v>77</v>
      </c>
      <c r="E3">
        <v>6</v>
      </c>
      <c r="F3" s="13">
        <f t="shared" ref="F3:F6" si="0">C3*E3</f>
        <v>1200</v>
      </c>
      <c r="H3">
        <v>33.299999999999997</v>
      </c>
    </row>
    <row r="4" spans="1:9" x14ac:dyDescent="0.25">
      <c r="A4" t="s">
        <v>80</v>
      </c>
      <c r="C4">
        <v>120</v>
      </c>
      <c r="D4" t="s">
        <v>77</v>
      </c>
      <c r="E4">
        <v>6</v>
      </c>
      <c r="F4" s="13">
        <f t="shared" si="0"/>
        <v>720</v>
      </c>
      <c r="G4" s="14">
        <f>F4*4</f>
        <v>2880</v>
      </c>
      <c r="H4">
        <v>20</v>
      </c>
      <c r="I4">
        <v>12.2</v>
      </c>
    </row>
    <row r="5" spans="1:9" x14ac:dyDescent="0.25">
      <c r="A5" t="s">
        <v>81</v>
      </c>
      <c r="C5">
        <v>180</v>
      </c>
      <c r="D5" t="s">
        <v>77</v>
      </c>
      <c r="E5">
        <v>6</v>
      </c>
      <c r="F5" s="13">
        <f t="shared" si="0"/>
        <v>1080</v>
      </c>
      <c r="G5" s="14">
        <f>F5*3</f>
        <v>3240</v>
      </c>
      <c r="H5">
        <v>30</v>
      </c>
      <c r="I5">
        <v>18.7</v>
      </c>
    </row>
    <row r="6" spans="1:9" x14ac:dyDescent="0.25">
      <c r="A6" t="s">
        <v>82</v>
      </c>
      <c r="C6">
        <v>260</v>
      </c>
      <c r="D6" t="s">
        <v>77</v>
      </c>
      <c r="E6">
        <v>6</v>
      </c>
      <c r="F6" s="13">
        <f t="shared" si="0"/>
        <v>1560</v>
      </c>
      <c r="G6" s="14">
        <f>F6*1</f>
        <v>1560</v>
      </c>
      <c r="H6">
        <v>43.3</v>
      </c>
      <c r="I6">
        <v>23.9</v>
      </c>
    </row>
    <row r="7" spans="1:9" x14ac:dyDescent="0.25">
      <c r="G7" s="14">
        <f>F2+F3+G5+G4+G6</f>
        <v>9960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F547-D429-45BC-AC61-DFEEEFAEF3DB}">
  <dimension ref="A1:K16"/>
  <sheetViews>
    <sheetView workbookViewId="0">
      <selection activeCell="D10" sqref="D10"/>
    </sheetView>
  </sheetViews>
  <sheetFormatPr baseColWidth="10" defaultRowHeight="15" x14ac:dyDescent="0.25"/>
  <cols>
    <col min="1" max="1" width="29.85546875" bestFit="1" customWidth="1"/>
    <col min="11" max="11" width="11.42578125" style="13"/>
  </cols>
  <sheetData>
    <row r="1" spans="1:11" x14ac:dyDescent="0.25">
      <c r="C1" t="s">
        <v>141</v>
      </c>
      <c r="D1" t="s">
        <v>142</v>
      </c>
      <c r="E1" t="s">
        <v>142</v>
      </c>
      <c r="F1" t="s">
        <v>143</v>
      </c>
      <c r="G1" t="s">
        <v>144</v>
      </c>
      <c r="H1" t="s">
        <v>145</v>
      </c>
    </row>
    <row r="2" spans="1:11" x14ac:dyDescent="0.25">
      <c r="A2" s="16" t="s">
        <v>118</v>
      </c>
      <c r="B2" s="44">
        <v>11953356</v>
      </c>
      <c r="C2">
        <v>1</v>
      </c>
      <c r="D2">
        <v>1</v>
      </c>
      <c r="I2" s="49">
        <v>11541.64</v>
      </c>
      <c r="J2">
        <v>746.63</v>
      </c>
      <c r="K2" s="21">
        <f>I2/J2</f>
        <v>15.458312684997923</v>
      </c>
    </row>
    <row r="3" spans="1:11" x14ac:dyDescent="0.25">
      <c r="A3" s="16" t="s">
        <v>119</v>
      </c>
      <c r="B3" s="44">
        <v>17129701</v>
      </c>
      <c r="C3">
        <v>1</v>
      </c>
      <c r="D3">
        <v>1</v>
      </c>
      <c r="I3" s="49">
        <v>4558.17</v>
      </c>
      <c r="J3">
        <v>746.63</v>
      </c>
      <c r="K3" s="21">
        <f t="shared" ref="K3:K16" si="0">I3/J3</f>
        <v>6.1049917629883614</v>
      </c>
    </row>
    <row r="4" spans="1:11" x14ac:dyDescent="0.25">
      <c r="A4" s="16" t="s">
        <v>120</v>
      </c>
      <c r="B4" s="44">
        <v>18620608</v>
      </c>
      <c r="C4">
        <v>1</v>
      </c>
      <c r="D4">
        <v>1</v>
      </c>
      <c r="I4" s="49">
        <v>10263.530000000001</v>
      </c>
      <c r="J4">
        <v>746.63</v>
      </c>
      <c r="K4" s="21">
        <f t="shared" si="0"/>
        <v>13.746474157213079</v>
      </c>
    </row>
    <row r="5" spans="1:11" x14ac:dyDescent="0.25">
      <c r="A5" s="16" t="s">
        <v>122</v>
      </c>
      <c r="B5" s="44">
        <v>14401299</v>
      </c>
      <c r="C5">
        <v>1</v>
      </c>
      <c r="D5">
        <v>1</v>
      </c>
      <c r="I5" s="50">
        <v>652.54</v>
      </c>
      <c r="J5">
        <v>746.63</v>
      </c>
      <c r="K5" s="21">
        <f t="shared" si="0"/>
        <v>0.87398041868127452</v>
      </c>
    </row>
    <row r="6" spans="1:11" x14ac:dyDescent="0.25">
      <c r="A6" s="16" t="s">
        <v>129</v>
      </c>
      <c r="B6" s="44">
        <v>26749609</v>
      </c>
      <c r="C6" t="s">
        <v>146</v>
      </c>
      <c r="D6">
        <v>1</v>
      </c>
      <c r="I6" s="21">
        <v>4849.75</v>
      </c>
      <c r="J6">
        <v>746.63</v>
      </c>
      <c r="K6" s="21">
        <f t="shared" si="0"/>
        <v>6.4955198692792946</v>
      </c>
    </row>
    <row r="7" spans="1:11" x14ac:dyDescent="0.25">
      <c r="I7" s="21">
        <v>11438.36</v>
      </c>
      <c r="J7">
        <v>746.63</v>
      </c>
      <c r="K7" s="21">
        <f t="shared" si="0"/>
        <v>15.319984463522763</v>
      </c>
    </row>
    <row r="8" spans="1:11" x14ac:dyDescent="0.25">
      <c r="I8" s="21">
        <v>12216.97</v>
      </c>
      <c r="J8">
        <v>746.63</v>
      </c>
      <c r="K8" s="21">
        <f t="shared" si="0"/>
        <v>16.362816924045376</v>
      </c>
    </row>
    <row r="9" spans="1:11" x14ac:dyDescent="0.25">
      <c r="I9" s="21">
        <v>6366.43</v>
      </c>
      <c r="J9">
        <v>746.63</v>
      </c>
      <c r="K9" s="21">
        <f t="shared" si="0"/>
        <v>8.5268874810816602</v>
      </c>
    </row>
    <row r="10" spans="1:11" x14ac:dyDescent="0.25">
      <c r="I10" s="21">
        <v>6456.54</v>
      </c>
      <c r="J10">
        <v>746.63</v>
      </c>
      <c r="K10" s="21">
        <f t="shared" si="0"/>
        <v>8.6475764434860647</v>
      </c>
    </row>
    <row r="11" spans="1:11" x14ac:dyDescent="0.25">
      <c r="I11" s="21">
        <v>2594.9299999999998</v>
      </c>
      <c r="J11">
        <v>746.63</v>
      </c>
      <c r="K11" s="21">
        <f t="shared" si="0"/>
        <v>3.4755233515931585</v>
      </c>
    </row>
    <row r="12" spans="1:11" x14ac:dyDescent="0.25">
      <c r="I12" s="21">
        <v>2943.51</v>
      </c>
      <c r="J12">
        <v>746.63</v>
      </c>
      <c r="K12" s="21">
        <f t="shared" si="0"/>
        <v>3.9423944925866898</v>
      </c>
    </row>
    <row r="13" spans="1:11" x14ac:dyDescent="0.25">
      <c r="I13" s="21">
        <v>935.98</v>
      </c>
      <c r="J13">
        <v>746.63</v>
      </c>
      <c r="K13" s="21">
        <f t="shared" si="0"/>
        <v>1.2536062038760831</v>
      </c>
    </row>
    <row r="14" spans="1:11" x14ac:dyDescent="0.25">
      <c r="I14" s="21">
        <v>697.15</v>
      </c>
      <c r="J14">
        <v>746.63</v>
      </c>
      <c r="K14" s="21">
        <f t="shared" si="0"/>
        <v>0.9337288884722017</v>
      </c>
    </row>
    <row r="15" spans="1:11" x14ac:dyDescent="0.25">
      <c r="I15" s="21">
        <v>5587.69</v>
      </c>
      <c r="J15">
        <v>746.63</v>
      </c>
      <c r="K15" s="21">
        <f t="shared" si="0"/>
        <v>7.4838809048658632</v>
      </c>
    </row>
    <row r="16" spans="1:11" x14ac:dyDescent="0.25">
      <c r="I16" s="21">
        <v>1996.61</v>
      </c>
      <c r="J16">
        <v>746.63</v>
      </c>
      <c r="K16" s="21">
        <f t="shared" si="0"/>
        <v>2.674162570483372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Financiero</vt:lpstr>
      <vt:lpstr>Dashboard</vt:lpstr>
      <vt:lpstr>Presupuesto</vt:lpstr>
      <vt:lpstr>Compras_Materiales</vt:lpstr>
      <vt:lpstr>Pago_Obreros</vt:lpstr>
      <vt:lpstr>Pago nomina</vt:lpstr>
      <vt:lpstr>Hoja1</vt:lpstr>
      <vt:lpstr>Nomina</vt:lpstr>
      <vt:lpstr>Calculos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I5</cp:lastModifiedBy>
  <dcterms:created xsi:type="dcterms:W3CDTF">2026-07-29T09:11:41Z</dcterms:created>
  <dcterms:modified xsi:type="dcterms:W3CDTF">2026-10-02T15:22:15Z</dcterms:modified>
</cp:coreProperties>
</file>