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4C6E0035-01B7-474D-ACFE-0B3BD06D33E2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L5" i="3"/>
  <c r="L6" i="3"/>
  <c r="I5" i="3"/>
  <c r="I6" i="3"/>
  <c r="B9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D8" i="9" l="1"/>
  <c r="F8" i="9" l="1"/>
  <c r="J8" i="9"/>
  <c r="C8" i="9" l="1"/>
  <c r="I8" i="9" l="1"/>
  <c r="K8" i="9"/>
  <c r="E8" i="9"/>
  <c r="H8" i="9" s="1"/>
  <c r="D7" i="9"/>
  <c r="D5" i="9"/>
  <c r="D6" i="9"/>
  <c r="D2" i="9"/>
  <c r="D3" i="9"/>
  <c r="D4" i="9"/>
  <c r="J7" i="9" l="1"/>
  <c r="F7" i="9"/>
  <c r="F5" i="9"/>
  <c r="J5" i="9"/>
  <c r="D9" i="9"/>
  <c r="F2" i="9"/>
  <c r="J2" i="9"/>
  <c r="F4" i="9"/>
  <c r="J4" i="9"/>
  <c r="G8" i="9"/>
  <c r="F3" i="9"/>
  <c r="J3" i="9"/>
  <c r="F6" i="9"/>
  <c r="J6" i="9"/>
  <c r="J9" i="9" l="1"/>
  <c r="F9" i="9"/>
  <c r="C4" i="9"/>
  <c r="C6" i="9"/>
  <c r="C7" i="9"/>
  <c r="C2" i="9"/>
  <c r="C3" i="9"/>
  <c r="C5" i="9"/>
  <c r="I6" i="9" l="1"/>
  <c r="K6" i="9"/>
  <c r="E6" i="9"/>
  <c r="H6" i="9" s="1"/>
  <c r="K4" i="9"/>
  <c r="I4" i="9"/>
  <c r="E4" i="9"/>
  <c r="H4" i="9" s="1"/>
  <c r="K3" i="9"/>
  <c r="I3" i="9"/>
  <c r="E3" i="9"/>
  <c r="H3" i="9" s="1"/>
  <c r="K5" i="9"/>
  <c r="I5" i="9"/>
  <c r="E5" i="9"/>
  <c r="C9" i="9"/>
  <c r="K2" i="9"/>
  <c r="I2" i="9"/>
  <c r="E2" i="9"/>
  <c r="H2" i="9" s="1"/>
  <c r="I7" i="9"/>
  <c r="K7" i="9"/>
  <c r="E7" i="9"/>
  <c r="G4" i="9" l="1"/>
  <c r="K9" i="9"/>
  <c r="I9" i="9"/>
  <c r="E9" i="9"/>
  <c r="G5" i="9"/>
  <c r="H5" i="9"/>
  <c r="G3" i="9"/>
  <c r="G7" i="9"/>
  <c r="H7" i="9"/>
  <c r="G2" i="9"/>
  <c r="G6" i="9"/>
  <c r="G9" i="9" l="1"/>
  <c r="H9" i="9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<sst xmlns="http://schemas.openxmlformats.org/spreadsheetml/2006/main" count="771" uniqueCount="349">
  <si>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</si>
  <si>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</si>
  <si>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</si>
  <si>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</si>
  <si>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</si>
  <si>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</si>
  <si>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</si>
  <si>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</si>
  <si>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</si>
  <si>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</si>
  <si>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</si>
  <si>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</si>
  <si>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</si>
  <si>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</si>
  <si>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</si>
  <si>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</si>
  <si>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</si>
  <si>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</si>
  <si>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</si>
  <si>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</si>
  <si>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</si>
  <si>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</si>
  <si>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</si>
  <si>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</si>
  <si>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</si>
  <si>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</si>
  <si>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</si>
  <si>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</si>
  <si>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</si>
  <si>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</si>
  <si>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</si>
  <si>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</si>
  <si>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</si>
  <si>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</si>
  <si>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</si>
  <si>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</si>
  <si>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</si>
  <si>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</si>
  <si>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</si>
  <si>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</si>
  <si>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</si>
  <si>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</si>
  <si>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</si>
  <si>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</si>
  <si>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</si>
  <si>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</si>
  <si>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</si>
  <si>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</si>
  <si>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</si>
  <si>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</si>
  <si>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</si>
  <si>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</si>
  <si>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</si>
  <si>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</si>
  <si>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</si>
  <si>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</si>
  <si>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</si>
  <si>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</si>
  <si>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</si>
  <si>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</si>
  <si>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</si>
  <si>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</si>
  <si>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</si>
  <si>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</si>
  <si>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</si>
  <si>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</si>
  <si>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</si>
  <si>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</si>
  <si>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</si>
  <si>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</si>
  <si>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</si>
  <si>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</si>
  <si>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</si>
  <si>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</si>
  <si>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</si>
  <si>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</si>
  <si>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</si>
  <si>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</si>
  <si>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</si>
  <si>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</si>
  <si>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</si>
  <si>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</si>
  <si>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</si>
  <si>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</si>
  <si>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</si>
  <si>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</si>
  <si>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</si>
  <si>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</si>
  <si>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</si>
  <si>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</si>
  <si>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</si>
  <si>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</si>
  <si>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</si>
  <si>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</si>
  <si>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</si>
  <si>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</si>
  <si>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</si>
  <si>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</si>
  <si>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</si>
  <si>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</si>
  <si>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</si>
  <si>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</si>
  <si>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</si>
  <si>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</si>
  <si>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</si>
  <si>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</si>
  <si>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</si>
  <si>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</si>
  <si>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</si>
  <si>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</si>
  <si>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</si>
  <si>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</si>
  <si>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</si>
  <si>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</si>
  <si>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</si>
  <si>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</si>
  <si>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</si>
  <si>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</si>
  <si>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</si>
  <si>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</si>
  <si>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</si>
  <si>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</si>
  <si>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</si>
  <si>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</si>
  <si>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</si>
  <si>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</si>
  <si>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</si>
  <si>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</si>
  <si>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</si>
  <si>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</si>
  <si>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</si>
  <si>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</si>
  <si>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</si>
  <si>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</si>
  <si>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</si>
  <si>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</si>
  <si>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</si>
  <si>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</si>
  <si>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</si>
  <si>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</si>
  <si>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</si>
  <si>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</si>
  <si>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</si>
  <si>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</si>
  <si>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</si>
  <si>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</si>
  <si>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</si>
  <si>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</si>
  <si>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</si>
  <si>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</si>
  <si>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</si>
  <si>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</si>
  <si>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</si>
  <si>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</si>
  <si>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</si>
  <si>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</si>
  <si>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</si>
  <si>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</si>
  <si>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</si>
  <si>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</si>
  <si>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</si>
  <si>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</si>
  <si>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</si>
  <si>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</si>
  <si>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</si>
  <si>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</si>
  <si>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</si>
  <si>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</si>
  <si>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</si>
  <si>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</si>
  <si>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</si>
  <si>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</si>
  <si>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</si>
  <si>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</si>
  <si>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</si>
  <si>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</si>
  <si>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</si>
  <si>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</si>
  <si>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</si>
  <si>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</si>
  <si>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</si>
  <si>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</si>
  <si>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</si>
  <si>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</si>
  <si>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</si>
  <si>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</si>
  <si>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</si>
  <si>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</si>
  <si>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</si>
  <si>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</si>
  <si>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</si>
  <si>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</si>
  <si>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</si>
  <si>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</si>
  <si>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</si>
  <si>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</si>
  <si>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</si>
  <si>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</si>
  <si>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</si>
  <si>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</si>
  <si>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</si>
  <si>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</si>
  <si>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</si>
  <si>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</si>
  <si>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</si>
  <si>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</si>
  <si>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</si>
  <si>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</si>
  <si>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</si>
  <si>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</si>
  <si>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</si>
  <si>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</si>
  <si>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</si>
  <si>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</si>
  <si>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</si>
  <si>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</si>
  <si>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</si>
  <si>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</si>
  <si>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</si>
  <si>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</si>
  <si>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</si>
  <si>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</si>
  <si>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</si>
  <si>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</si>
  <si>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</si>
  <si>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</si>
  <si>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</si>
  <si>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</si>
  <si>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</si>
  <si>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</si>
  <si>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</si>
  <si>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</si>
  <si>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</si>
  <si>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</si>
  <si>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</si>
  <si>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</si>
  <si>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</si>
  <si>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</si>
  <si>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</si>
  <si>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</si>
  <si>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</si>
  <si>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</si>
  <si>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</si>
  <si>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</si>
  <si>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</si>
  <si>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</si>
  <si>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</si>
  <si>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</si>
  <si>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</si>
  <si>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</si>
  <si>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</si>
  <si>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</si>
  <si>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</si>
  <si>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</si>
  <si>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</si>
  <si>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</si>
  <si>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</si>
  <si>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</si>
  <si>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</si>
  <si>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</si>
  <si>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</si>
  <si>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</si>
  <si>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</si>
  <si>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</si>
  <si>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</si>
  <si>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</si>
  <si>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</si>
  <si>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</si>
  <si>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</si>
  <si>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</si>
  <si>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</si>
  <si>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</si>
  <si>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</si>
  <si>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</si>
  <si>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</si>
  <si>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</si>
  <si>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</si>
  <si>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</si>
  <si>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</si>
  <si>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</si>
  <si>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</si>
  <si>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</si>
  <si>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</si>
  <si>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</si>
  <si>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</si>
  <si>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</si>
  <si>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</si>
  <si>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</si>
  <si>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</si>
  <si>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</si>
  <si>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</si>
  <si>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</si>
  <si>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</si>
  <si>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</si>
  <si>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</si>
  <si>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</si>
  <si>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</si>
  <si>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</si>
  <si>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</si>
  <si>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</si>
  <si>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</si>
  <si>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</si>
  <si>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</si>
  <si>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</si>
  <si>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</si>
  <si>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</si>
  <si>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</si>
  <si>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</si>
  <si>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</si>
  <si>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</si>
  <si>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</si>
  <si>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</si>
  <si>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</si>
  <si>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</si>
  <si>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</si>
  <si>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</si>
  <si>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</si>
  <si>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</si>
  <si>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</si>
  <si>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</si>
  <si>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</si>
  <si>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</si>
  <si>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</si>
  <si>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</si>
  <si>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</si>
  <si>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</si>
  <si>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</si>
  <si>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</si>
  <si>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</si>
  <si>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</si>
  <si>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</si>
  <si>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</si>
  <si>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</si>
  <si>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</si>
  <si>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</si>
  <si>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</si>
  <si>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</si>
  <si>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</si>
  <si>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</si>
  <si>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</si>
  <si>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</si>
  <si>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</si>
  <si>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</si>
  <si>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</si>
  <si>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</si>
  <si>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</si>
  <si>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</si>
  <si>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</si>
  <si>
    <t>Flujo de Caja2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</si>
</sst>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8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2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left"/>
    </xf>
    <xf numFmtId="10" fontId="0" fillId="0" borderId="0" xfId="3" applyNumberFormat="1" applyFont="1" applyAlignment="1">
      <alignment horizontal="center"/>
    </xf>
    <xf numFmtId="10" fontId="0" fillId="0" borderId="0" xfId="3" applyNumberFormat="1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Fill="1" applyAlignment="1">
      <alignment horizontal="center"/>
    </xf>
    <xf numFmtId="0" fontId="11" fillId="0" borderId="0" xfId="0" applyFont="1" applyFill="1" applyAlignment="1">
      <alignment horizontal="center"/>
    </xf>
    <xf numFmtId="164" fontId="12" fillId="0" borderId="1" xfId="0" applyNumberFormat="1" applyFont="1" applyFill="1" applyBorder="1" applyAlignment="1">
      <alignment horizontal="center" vertical="center"/>
    </xf>
    <xf numFmtId="0" fontId="0" fillId="0" borderId="0" xfId="0" applyFill="1"/>
    <xf numFmtId="164" fontId="11" fillId="0" borderId="0" xfId="0" applyNumberFormat="1" applyFont="1" applyFill="1" applyAlignment="1">
      <alignment horizont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54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E293B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CBD5E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805E51-A356-4DF4-A8E3-9FB386CF607D}" name="Tabla1" displayName="Tabla1" ref="A1:L9" totalsRowShown="0" headerRowDxfId="7" dataDxfId="6">
  <autoFilter ref="A1:L9" xr:uid="{A4D9C4A4-4BEE-43F7-B482-6B69DD695700}"/>
  <tableColumns count="12">
    <tableColumn id="1" xr3:uid="{9639892B-B05F-4273-A2D0-0F26C4BDA78B}" name="Obra" dataDxfId="13"/>
    <tableColumn id="2" xr3:uid="{E24FABEC-6585-475F-BD45-D7E037225687}" name="Monto Contrato" dataDxfId="5"/>
    <tableColumn id="3" xr3:uid="{59352CEA-A0C7-4891-8730-9739502D15D6}" name="EJECUTADO" dataDxfId="12"/>
    <tableColumn id="4" xr3:uid="{4D528DAA-1E81-4553-8223-9B69EF0E3B7B}" name="DESEMBOLSADO" dataDxfId="4"/>
    <tableColumn id="5" xr3:uid="{18FC4046-0DCE-4C45-8BF6-56269B2E56F6}" name="FLUJO DE CAJA" dataDxfId="3">
      <calculatedColumnFormula>D2-C2</calculatedColumnFormula>
    </tableColumn>
    <tableColumn id="6" xr3:uid="{899F9DB9-CF23-4328-AFEE-25EC12A8B325}" name="Por cobrar" dataDxfId="2">
      <calculatedColumnFormula>B2-D2</calculatedColumnFormula>
    </tableColumn>
    <tableColumn id="7" xr3:uid="{B77ECBA9-3527-4393-B393-7789EFC2DE7E}" name="Utilidad Bruta" dataDxfId="1">
      <calculatedColumnFormula>C2-E2</calculatedColumnFormula>
    </tableColumn>
    <tableColumn id="8" xr3:uid="{D9267B23-8841-4BA0-9258-A82B5D1E3C15}" name="Flujo de Caja2" dataDxfId="11">
      <calculatedColumnFormula>E2</calculatedColumnFormula>
    </tableColumn>
    <tableColumn id="9" xr3:uid="{5216BE03-89CB-4506-AD80-2A2BC0249463}" name="% Avance Facturado" dataDxfId="10" dataCellStyle="Porcentaje">
      <calculatedColumnFormula>C2/B2</calculatedColumnFormula>
    </tableColumn>
    <tableColumn id="10" xr3:uid="{B3979176-8352-4A1E-8E53-38F1851C0B62}" name="% Avance Cobrado" dataDxfId="9" dataCellStyle="Porcentaje">
      <calculatedColumnFormula>D2/B2</calculatedColumnFormula>
    </tableColumn>
    <tableColumn id="11" xr3:uid="{94A9DD3A-AA85-4291-8F0F-8D0CF97A777A}" name="Saldo por Ejecutar" dataDxfId="0">
      <calculatedColumnFormula>B2-C2</calculatedColumnFormula>
    </tableColumn>
    <tableColumn id="12" xr3:uid="{7A3B3339-89C3-4CDF-9786-F758C4867EFC}" name="Estado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53" dataDxfId="52">
  <autoFilter ref="A4:E10" xr:uid="{8ABC211C-7D80-490C-9B76-89253396DB9F}"/>
  <tableColumns count="5">
    <tableColumn id="1" xr3:uid="{84E4A345-4F70-4242-AEBF-DEFE862C7201}" name="Item" dataDxfId="51"/>
    <tableColumn id="2" xr3:uid="{2764A18A-9183-4772-8CF7-B73D203823AA}" name="Descripción de Partida" dataDxfId="50"/>
    <tableColumn id="3" xr3:uid="{862DB45F-14BD-479A-A469-1805C47768C4}" name="Unidad" dataDxfId="49"/>
    <tableColumn id="4" xr3:uid="{3D7A14B7-3496-46E7-91C0-3D3429704BE1}" name="Cantidad" dataDxfId="48"/>
    <tableColumn id="5" xr3:uid="{E49A0B03-5910-4839-A117-212DE1184427}" name="Costo Total Presupuestado ($)" dataDxfId="4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46" dataDxfId="45" tableBorderDxfId="44">
  <autoFilter ref="A4:M119" xr:uid="{C3432B77-315D-40F3-A17B-615A4A292D9C}"/>
  <tableColumns count="13">
    <tableColumn id="1" xr3:uid="{51E61233-9233-43B7-BB64-29A901BAEA30}" name="ID Compra" dataDxfId="43"/>
    <tableColumn id="2" xr3:uid="{9C29F3DD-7251-4C67-BC5D-7306B08C10A3}" name="Fecha" dataDxfId="42"/>
    <tableColumn id="3" xr3:uid="{C03286CD-E636-4F93-B5BB-FD2EF9316000}" name="Proveedor" dataDxfId="41"/>
    <tableColumn id="4" xr3:uid="{C3E7CDCA-7AC6-4AF8-A142-431E93F82507}" name="N° Factura" dataDxfId="40"/>
    <tableColumn id="5" xr3:uid="{1C36C9FC-DD95-4DD5-BF63-11F86DA703F7}" name="Descripción del Material" dataDxfId="39"/>
    <tableColumn id="10" xr3:uid="{BF187DCE-C330-4566-80EA-1C65219FCD24}" name="Proyecto" dataDxfId="38"/>
    <tableColumn id="6" xr3:uid="{07AC7C56-D870-42C9-A2B1-62222E777EAC}" name="Cantidad" dataDxfId="37"/>
    <tableColumn id="11" xr3:uid="{37E43724-D57F-4009-AFAE-310807BA6141}" name="Precio Unitario Bs" dataDxfId="36" dataCellStyle="Millares"/>
    <tableColumn id="13" xr3:uid="{20E3667F-97A8-40CB-9D83-5580EEF43828}" name="Precio Total Bs" dataDxfId="35" dataCellStyle="Millares">
      <calculatedColumnFormula>Tabla4[[#This Row],[Cantidad]]*Tabla4[[#This Row],[Precio Unitario Bs]]</calculatedColumnFormula>
    </tableColumn>
    <tableColumn id="12" xr3:uid="{4F7720D4-B9D1-4D0E-B98C-1D2DF82D3219}" name="Tasa" dataDxfId="34"/>
    <tableColumn id="7" xr3:uid="{121DB662-44AD-4135-8A9A-13D6E424C364}" name="Precio Unitario ($)" dataDxfId="33"/>
    <tableColumn id="8" xr3:uid="{C8E4D933-4F1F-49BC-8EE3-2244B02AB1BB}" name="Precio Total ($)" dataDxfId="32"/>
    <tableColumn id="9" xr3:uid="{91480AE5-00CF-4555-9CD6-E1FBDFDC6A12}" name="Estado / Observación" dataDxfId="3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30" dataDxfId="29" tableBorderDxfId="28">
  <autoFilter ref="A4:N46" xr:uid="{EA34636B-E6DC-4743-A5C0-1FA27FABC114}"/>
  <tableColumns count="14">
    <tableColumn id="1" xr3:uid="{BBAF9CF5-2C57-497C-ADCC-BC3BCE11CE82}" name="N° Sem" dataDxfId="27"/>
    <tableColumn id="12" xr3:uid="{60AD9872-1C78-49BE-BE30-236230C9FAFB}" name="Inicio labor" dataDxfId="26"/>
    <tableColumn id="2" xr3:uid="{B6A1A3AE-C552-4972-B3CF-C312F8E83741}" name="Fecha Pago" dataDxfId="25"/>
    <tableColumn id="3" xr3:uid="{403A8C63-508B-46D2-AF7D-E343A87090BC}" name="Nombre del Trabajador" dataDxfId="24"/>
    <tableColumn id="11" xr3:uid="{E332BA78-D135-4112-89B9-EE8E17A08EDA}" name="CI" dataDxfId="23" dataCellStyle="Millares"/>
    <tableColumn id="13" xr3:uid="{926F1834-F424-44C6-815B-F614EC784ECB}" name="N° Cuenta" dataDxfId="22" dataCellStyle="Millares"/>
    <tableColumn id="14" xr3:uid="{21A18727-7773-4BC6-9C1B-288F81640406}" name="Banco" dataDxfId="21" dataCellStyle="Millares"/>
    <tableColumn id="4" xr3:uid="{97A20550-620F-4113-9F6C-9583687D28BA}" name="Cargo / Rol" dataDxfId="20"/>
    <tableColumn id="5" xr3:uid="{C4861E6E-432A-479E-B56C-C8DDC5439D01}" name="Días Trabajados" dataDxfId="19" dataCellStyle="Millares"/>
    <tableColumn id="6" xr3:uid="{D8A42229-F2C3-45EB-AA32-B6A5645D3970}" name="Pago Diario ($)" dataDxfId="18"/>
    <tableColumn id="7" xr3:uid="{ECD689E9-2C20-47A1-AAE6-3C4B456C6E73}" name="Bonificación ($)" dataDxfId="17"/>
    <tableColumn id="8" xr3:uid="{B708F2B1-6B11-4DD2-BD9A-DFF48B584291}" name="Deducciones ($)" dataDxfId="16"/>
    <tableColumn id="9" xr3:uid="{CF88BABA-BA05-4A83-A637-4B472029040F}" name="Total Pagado ($)" dataDxfId="15"/>
    <tableColumn id="10" xr3:uid="{8B29990E-C3AB-45EA-9AE7-197947CFEB49}" name="Notas / Frente de Trabajo" dataDxfId="1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zoomScale="88" zoomScaleNormal="88" workbookViewId="0">
      <selection activeCell="N15" sqref="N15"/>
    </sheetView>
  </sheetViews>
  <sheetFormatPr baseColWidth="10" defaultRowHeight="15" x14ac:dyDescent="0.25"/>
  <cols>
    <col min="1" max="1" width="29.85546875" style="32" bestFit="1" customWidth="1"/>
    <col min="2" max="2" width="17.7109375" style="32" customWidth="1"/>
    <col min="3" max="3" width="29.7109375" style="32" bestFit="1" customWidth="1"/>
    <col min="4" max="4" width="33.42578125" style="32" bestFit="1" customWidth="1"/>
    <col min="5" max="5" width="19.28515625" style="32" bestFit="1" customWidth="1"/>
    <col min="6" max="6" width="12.5703125" style="32" customWidth="1"/>
    <col min="7" max="7" width="15.42578125" style="32" customWidth="1"/>
    <col min="8" max="8" width="12.28515625" style="32" hidden="1" customWidth="1"/>
    <col min="9" max="9" width="20.7109375" style="32" customWidth="1"/>
    <col min="10" max="10" width="19.42578125" style="69" customWidth="1"/>
    <col min="11" max="11" width="22.28515625" bestFit="1" customWidth="1"/>
    <col min="12" max="12" width="11.85546875" bestFit="1" customWidth="1"/>
  </cols>
  <sheetData>
    <row r="1" spans="1:12" x14ac:dyDescent="0.25">
      <c r="A1" s="77" t="s">
        <v>333</v>
      </c>
      <c r="B1" s="77" t="s">
        <v>327</v>
      </c>
      <c r="C1" s="77" t="s">
        <v>342</v>
      </c>
      <c r="D1" s="77" t="s">
        <v>343</v>
      </c>
      <c r="E1" s="77" t="s">
        <v>344</v>
      </c>
      <c r="F1" s="77" t="s">
        <v>328</v>
      </c>
      <c r="G1" s="77" t="s">
        <v>329</v>
      </c>
      <c r="H1" s="77" t="s">
        <v>348</v>
      </c>
      <c r="I1" s="77" t="s">
        <v>330</v>
      </c>
      <c r="J1" s="70" t="s">
        <v>331</v>
      </c>
      <c r="K1" s="77" t="s">
        <v>332</v>
      </c>
      <c r="L1" s="77" t="s">
        <v>345</v>
      </c>
    </row>
    <row r="2" spans="1:12" x14ac:dyDescent="0.25">
      <c r="A2" s="78" t="s">
        <v>334</v>
      </c>
      <c r="B2" s="81">
        <f>[1]!Panel_Control[[#This Row],[Monto del Contrato]]</f>
        <v>38605.82</v>
      </c>
      <c r="C2" s="81">
        <f>[1]!Panel_Control[[#This Row],[Total Ejecutado]]</f>
        <v>28086.599999999995</v>
      </c>
      <c r="D2" s="81">
        <f>[1]!Panel_Control[[#This Row],[Total Ingresos]]</f>
        <v>38605.82</v>
      </c>
      <c r="E2" s="81">
        <f t="shared" ref="E2:E8" si="0">D2-C2</f>
        <v>10519.220000000005</v>
      </c>
      <c r="F2" s="81">
        <f t="shared" ref="F2:G4" si="1">B2-D2</f>
        <v>0</v>
      </c>
      <c r="G2" s="81">
        <f t="shared" si="1"/>
        <v>17567.37999999999</v>
      </c>
      <c r="H2" s="79">
        <f t="shared" ref="H2:H8" si="2">E2</f>
        <v>10519.220000000005</v>
      </c>
      <c r="I2" s="70">
        <f t="shared" ref="I2:I8" si="3">C2/B2</f>
        <v>0.72752243055580723</v>
      </c>
      <c r="J2" s="70">
        <f t="shared" ref="J2:J8" si="4">D2/B2</f>
        <v>1</v>
      </c>
      <c r="K2" s="81">
        <f t="shared" ref="K2:K8" si="5">B2-C2</f>
        <v>10519.220000000005</v>
      </c>
      <c r="L2" s="80" t="s">
        <v>346</v>
      </c>
    </row>
    <row r="3" spans="1:12" x14ac:dyDescent="0.25">
      <c r="A3" s="78" t="s">
        <v>335</v>
      </c>
      <c r="B3" s="81">
        <f>[1]!Panel_Control[[#This Row],[Monto del Contrato]]</f>
        <v>580</v>
      </c>
      <c r="C3" s="81">
        <f>[1]!Panel_Control[[#This Row],[Total Ejecutado]]</f>
        <v>315</v>
      </c>
      <c r="D3" s="81">
        <f>[1]!Panel_Control[[#This Row],[Total Ingresos]]</f>
        <v>406</v>
      </c>
      <c r="E3" s="81">
        <f t="shared" si="0"/>
        <v>91</v>
      </c>
      <c r="F3" s="81">
        <f t="shared" si="1"/>
        <v>174</v>
      </c>
      <c r="G3" s="81">
        <f t="shared" si="1"/>
        <v>224</v>
      </c>
      <c r="H3" s="79">
        <f t="shared" si="2"/>
        <v>91</v>
      </c>
      <c r="I3" s="70">
        <f t="shared" si="3"/>
        <v>0.5431034482758621</v>
      </c>
      <c r="J3" s="70">
        <f t="shared" si="4"/>
        <v>0.7</v>
      </c>
      <c r="K3" s="81">
        <f t="shared" si="5"/>
        <v>265</v>
      </c>
      <c r="L3" s="80" t="s">
        <v>347</v>
      </c>
    </row>
    <row r="4" spans="1:12" x14ac:dyDescent="0.25">
      <c r="A4" s="78" t="s">
        <v>336</v>
      </c>
      <c r="B4" s="81">
        <f>[1]!Panel_Control[[#This Row],[Monto del Contrato]]</f>
        <v>580</v>
      </c>
      <c r="C4" s="81">
        <f>[1]!Panel_Control[[#This Row],[Total Ejecutado]]</f>
        <v>315</v>
      </c>
      <c r="D4" s="81">
        <f>[1]!Panel_Control[[#This Row],[Total Ingresos]]</f>
        <v>406</v>
      </c>
      <c r="E4" s="81">
        <f t="shared" si="0"/>
        <v>91</v>
      </c>
      <c r="F4" s="81">
        <f t="shared" si="1"/>
        <v>174</v>
      </c>
      <c r="G4" s="81">
        <f t="shared" si="1"/>
        <v>224</v>
      </c>
      <c r="H4" s="79">
        <f t="shared" si="2"/>
        <v>91</v>
      </c>
      <c r="I4" s="70">
        <f t="shared" si="3"/>
        <v>0.5431034482758621</v>
      </c>
      <c r="J4" s="70">
        <f t="shared" si="4"/>
        <v>0.7</v>
      </c>
      <c r="K4" s="81">
        <f t="shared" si="5"/>
        <v>265</v>
      </c>
      <c r="L4" s="80" t="s">
        <v>347</v>
      </c>
    </row>
    <row r="5" spans="1:12" x14ac:dyDescent="0.25">
      <c r="A5" s="78" t="s">
        <v>337</v>
      </c>
      <c r="B5" s="81">
        <f>[1]!Panel_Control[[#This Row],[Monto del Contrato]]</f>
        <v>10524</v>
      </c>
      <c r="C5" s="81">
        <f>[1]!Panel_Control[[#This Row],[Total Ejecutado]]</f>
        <v>3236.5699999999997</v>
      </c>
      <c r="D5" s="81">
        <f>[1]!Panel_Control[[#This Row],[Total Ingresos]]</f>
        <v>6314</v>
      </c>
      <c r="E5" s="81">
        <f t="shared" si="0"/>
        <v>3077.4300000000003</v>
      </c>
      <c r="F5" s="81">
        <f t="shared" ref="F5:F8" si="6">B5-D5</f>
        <v>4210</v>
      </c>
      <c r="G5" s="81">
        <f t="shared" ref="G5:G8" si="7">C5-E5</f>
        <v>159.13999999999942</v>
      </c>
      <c r="H5" s="79">
        <f t="shared" si="2"/>
        <v>3077.4300000000003</v>
      </c>
      <c r="I5" s="70">
        <f t="shared" si="3"/>
        <v>0.30754180919802354</v>
      </c>
      <c r="J5" s="70">
        <f t="shared" si="4"/>
        <v>0.59996199163816044</v>
      </c>
      <c r="K5" s="81">
        <f t="shared" si="5"/>
        <v>7287.43</v>
      </c>
      <c r="L5" s="80" t="s">
        <v>347</v>
      </c>
    </row>
    <row r="6" spans="1:12" x14ac:dyDescent="0.25">
      <c r="A6" s="78" t="s">
        <v>338</v>
      </c>
      <c r="B6" s="81">
        <f>[1]!Panel_Control[[#This Row],[Monto del Contrato]]</f>
        <v>5525</v>
      </c>
      <c r="C6" s="81">
        <f>[1]!Panel_Control[[#This Row],[Total Ejecutado]]</f>
        <v>276.25</v>
      </c>
      <c r="D6" s="81">
        <f>[1]!Panel_Control[[#This Row],[Total Ingresos]]</f>
        <v>5525</v>
      </c>
      <c r="E6" s="81">
        <f t="shared" si="0"/>
        <v>5248.75</v>
      </c>
      <c r="F6" s="81">
        <f t="shared" si="6"/>
        <v>0</v>
      </c>
      <c r="G6" s="81">
        <f t="shared" si="7"/>
        <v>-4972.5</v>
      </c>
      <c r="H6" s="79">
        <f t="shared" si="2"/>
        <v>5248.75</v>
      </c>
      <c r="I6" s="70">
        <f t="shared" si="3"/>
        <v>0.05</v>
      </c>
      <c r="J6" s="70">
        <f t="shared" si="4"/>
        <v>1</v>
      </c>
      <c r="K6" s="81">
        <f t="shared" si="5"/>
        <v>5248.75</v>
      </c>
      <c r="L6" s="80" t="s">
        <v>347</v>
      </c>
    </row>
    <row r="7" spans="1:12" x14ac:dyDescent="0.25">
      <c r="A7" s="78" t="s">
        <v>339</v>
      </c>
      <c r="B7" s="81">
        <f>[1]!Panel_Control[[#This Row],[Monto del Contrato]]</f>
        <v>1743.75</v>
      </c>
      <c r="C7" s="81">
        <f>[1]!Panel_Control[[#This Row],[Total Ejecutado]]</f>
        <v>87.18</v>
      </c>
      <c r="D7" s="81">
        <f>[1]!Panel_Control[[#This Row],[Total Ingresos]]</f>
        <v>1743.75</v>
      </c>
      <c r="E7" s="81">
        <f t="shared" si="0"/>
        <v>1656.57</v>
      </c>
      <c r="F7" s="81">
        <f t="shared" si="6"/>
        <v>0</v>
      </c>
      <c r="G7" s="81">
        <f t="shared" si="7"/>
        <v>-1569.3899999999999</v>
      </c>
      <c r="H7" s="79">
        <f t="shared" si="2"/>
        <v>1656.57</v>
      </c>
      <c r="I7" s="70">
        <f t="shared" si="3"/>
        <v>4.9995698924731186E-2</v>
      </c>
      <c r="J7" s="70">
        <f t="shared" si="4"/>
        <v>1</v>
      </c>
      <c r="K7" s="81">
        <f t="shared" si="5"/>
        <v>1656.57</v>
      </c>
      <c r="L7" s="80" t="s">
        <v>347</v>
      </c>
    </row>
    <row r="8" spans="1:12" x14ac:dyDescent="0.25">
      <c r="A8" s="78" t="s">
        <v>340</v>
      </c>
      <c r="B8" s="81">
        <f>[1]!Panel_Control[[#This Row],[Monto del Contrato]]</f>
        <v>8484.7900000000009</v>
      </c>
      <c r="C8" s="81">
        <f>[1]!Panel_Control[[#This Row],[Total Ejecutado]]</f>
        <v>2638.15</v>
      </c>
      <c r="D8" s="81">
        <f>[1]!Panel_Control[[#This Row],[Total Ingresos]]</f>
        <v>5094</v>
      </c>
      <c r="E8" s="81">
        <f t="shared" si="0"/>
        <v>2455.85</v>
      </c>
      <c r="F8" s="81">
        <f t="shared" si="6"/>
        <v>3390.7900000000009</v>
      </c>
      <c r="G8" s="81">
        <f t="shared" si="7"/>
        <v>182.30000000000018</v>
      </c>
      <c r="H8" s="79">
        <f t="shared" si="2"/>
        <v>2455.85</v>
      </c>
      <c r="I8" s="70">
        <f t="shared" si="3"/>
        <v>0.31092696460372027</v>
      </c>
      <c r="J8" s="70">
        <f t="shared" si="4"/>
        <v>0.60036842396806511</v>
      </c>
      <c r="K8" s="81">
        <f t="shared" si="5"/>
        <v>5846.6400000000012</v>
      </c>
      <c r="L8" s="80" t="s">
        <v>347</v>
      </c>
    </row>
    <row r="9" spans="1:12" x14ac:dyDescent="0.25">
      <c r="A9" s="78" t="s">
        <v>341</v>
      </c>
      <c r="B9" s="81">
        <f>SUM(B2:B8)</f>
        <v>66043.360000000001</v>
      </c>
      <c r="C9" s="81">
        <f>SUM(C2:C8)</f>
        <v>34954.749999999993</v>
      </c>
      <c r="D9" s="81">
        <f>SUM(D2:D8)</f>
        <v>58094.57</v>
      </c>
      <c r="E9" s="81">
        <f t="shared" ref="E9" si="8">D9-C9</f>
        <v>23139.820000000007</v>
      </c>
      <c r="F9" s="81">
        <f t="shared" ref="F9" si="9">B9-D9</f>
        <v>7948.7900000000009</v>
      </c>
      <c r="G9" s="81">
        <f t="shared" ref="G9" si="10">C9-E9</f>
        <v>11814.929999999986</v>
      </c>
      <c r="H9" s="79">
        <f t="shared" ref="H9" si="11">E9</f>
        <v>23139.820000000007</v>
      </c>
      <c r="I9" s="70">
        <f t="shared" ref="I9" si="12">C9/B9</f>
        <v>0.52926971008137669</v>
      </c>
      <c r="J9" s="70">
        <f t="shared" ref="J9" si="13">D9/B9</f>
        <v>0.87964285887332205</v>
      </c>
      <c r="K9" s="81">
        <f t="shared" ref="K9" si="14">B9-C9</f>
        <v>31088.610000000008</v>
      </c>
      <c r="L9" s="80" t="s">
        <v>347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5" t="s">
        <v>132</v>
      </c>
      <c r="B1" s="76"/>
      <c r="C1" s="76"/>
      <c r="D1" s="76"/>
      <c r="E1" s="76"/>
      <c r="F1" s="76"/>
      <c r="G1" s="76"/>
      <c r="H1" s="76"/>
      <c r="I1" s="76"/>
    </row>
    <row r="2" spans="1:9" x14ac:dyDescent="0.25">
      <c r="A2" s="76"/>
      <c r="B2" s="76"/>
      <c r="C2" s="76"/>
      <c r="D2" s="76"/>
      <c r="E2" s="76"/>
      <c r="F2" s="76"/>
      <c r="G2" s="76"/>
      <c r="H2" s="76"/>
      <c r="I2" s="76"/>
    </row>
    <row r="4" spans="1:9" x14ac:dyDescent="0.25">
      <c r="A4" s="71" t="s">
        <v>0</v>
      </c>
      <c r="B4" s="72"/>
      <c r="C4" s="71" t="s">
        <v>1</v>
      </c>
      <c r="D4" s="72"/>
      <c r="E4" s="71" t="s">
        <v>2</v>
      </c>
      <c r="F4" s="72"/>
      <c r="G4" s="71" t="s">
        <v>3</v>
      </c>
      <c r="H4" s="72"/>
    </row>
    <row r="5" spans="1:9" x14ac:dyDescent="0.25">
      <c r="A5" s="73">
        <f>Presupuesto!E11</f>
        <v>43821.59</v>
      </c>
      <c r="B5" s="72"/>
      <c r="C5" s="73">
        <f>Compras_Materiales!L120+Pago_Obreros!M47</f>
        <v>21784.026381865144</v>
      </c>
      <c r="D5" s="72"/>
      <c r="E5" s="73">
        <f>A5-C5</f>
        <v>22037.563618134853</v>
      </c>
      <c r="F5" s="72"/>
      <c r="G5" s="74">
        <f>C5/A5</f>
        <v>0.49710716525496096</v>
      </c>
      <c r="H5" s="72"/>
    </row>
    <row r="6" spans="1:9" x14ac:dyDescent="0.25">
      <c r="A6" s="72"/>
      <c r="B6" s="72"/>
      <c r="C6" s="72"/>
      <c r="D6" s="72"/>
      <c r="E6" s="72"/>
      <c r="F6" s="72"/>
      <c r="G6" s="72"/>
      <c r="H6" s="72"/>
    </row>
    <row r="7" spans="1:9" x14ac:dyDescent="0.25">
      <c r="A7" s="71" t="s">
        <v>153</v>
      </c>
      <c r="B7" s="72"/>
      <c r="C7" s="71" t="s">
        <v>1</v>
      </c>
      <c r="D7" s="72"/>
      <c r="E7" s="71" t="s">
        <v>2</v>
      </c>
      <c r="F7" s="72"/>
      <c r="G7" s="71" t="s">
        <v>3</v>
      </c>
      <c r="H7" s="72"/>
    </row>
    <row r="8" spans="1:9" ht="15" customHeight="1" x14ac:dyDescent="0.25">
      <c r="A8" s="73">
        <f>B23</f>
        <v>33203.99</v>
      </c>
      <c r="B8" s="72"/>
      <c r="C8" s="73">
        <f>C14</f>
        <v>21784.026381865144</v>
      </c>
      <c r="D8" s="72"/>
      <c r="E8" s="73">
        <f>A8-C8</f>
        <v>11419.963618134854</v>
      </c>
      <c r="F8" s="72"/>
      <c r="G8" s="74">
        <f>C8/A8</f>
        <v>0.65606652639833785</v>
      </c>
      <c r="H8" s="72"/>
    </row>
    <row r="9" spans="1:9" x14ac:dyDescent="0.25">
      <c r="A9" s="72"/>
      <c r="B9" s="72"/>
      <c r="C9" s="72"/>
      <c r="D9" s="72"/>
      <c r="E9" s="72"/>
      <c r="F9" s="72"/>
      <c r="G9" s="72"/>
      <c r="H9" s="72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68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68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5" t="s">
        <v>12</v>
      </c>
      <c r="B1" s="76"/>
      <c r="C1" s="76"/>
      <c r="D1" s="76"/>
      <c r="E1" s="76"/>
    </row>
    <row r="2" spans="1:5" x14ac:dyDescent="0.25">
      <c r="A2" s="76"/>
      <c r="B2" s="76"/>
      <c r="C2" s="76"/>
      <c r="D2" s="76"/>
      <c r="E2" s="76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5" t="s">
        <v>25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3" x14ac:dyDescent="0.25">
      <c r="A2" s="76"/>
      <c r="B2" s="76"/>
      <c r="C2" s="76"/>
      <c r="D2" s="76"/>
      <c r="E2" s="76"/>
      <c r="F2" s="76"/>
      <c r="G2" s="76"/>
      <c r="H2" s="76"/>
      <c r="I2" s="76"/>
      <c r="J2" s="76"/>
      <c r="K2" s="76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5" t="s">
        <v>57</v>
      </c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</row>
    <row r="2" spans="1:14" x14ac:dyDescent="0.25">
      <c r="A2" s="76"/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2026-09-22T15:08:04Z</dcterms:modified>
</cp:coreProperties>
</file>