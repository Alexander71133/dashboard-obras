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FD6A23CA-FD30-46B4-9025-43A6A9010F34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<sst xmlns="http://schemas.openxmlformats.org/spreadsheetml/2006/main" count="771" uniqueCount="349">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</sst>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N15" sqref="N15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28086.599999999995</v>
      </c>
      <c r="D2" s="73">
        <f>[1]!Panel_Control[[#This Row],[Total Ingresos]]</f>
        <v>38605.82</v>
      </c>
      <c r="E2" s="73">
        <f t="shared" ref="E2:E8" si="0">D2-C2</f>
        <v>10519.220000000005</v>
      </c>
      <c r="F2" s="73">
        <f t="shared" ref="F2:G4" si="1">B2-D2</f>
        <v>0</v>
      </c>
      <c r="G2" s="73">
        <f t="shared" si="1"/>
        <v>17567.37999999999</v>
      </c>
      <c r="H2" s="72">
        <f t="shared" ref="H2:H8" si="2">E2</f>
        <v>10519.220000000005</v>
      </c>
      <c r="I2" s="70">
        <f t="shared" ref="I2:I8" si="3">C2/B2</f>
        <v>0.72752243055580723</v>
      </c>
      <c r="J2" s="70">
        <f t="shared" ref="J2:J8" si="4">D2/B2</f>
        <v>1</v>
      </c>
      <c r="K2" s="73">
        <f t="shared" ref="K2:K8" si="5">B2-C2</f>
        <v>10519.220000000005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2684.4700000000003</v>
      </c>
      <c r="D8" s="73">
        <f>[1]!Panel_Control[[#This Row],[Total Ingresos]]</f>
        <v>5094</v>
      </c>
      <c r="E8" s="73">
        <f t="shared" si="0"/>
        <v>2409.5299999999997</v>
      </c>
      <c r="F8" s="73">
        <f t="shared" si="6"/>
        <v>3390.7900000000009</v>
      </c>
      <c r="G8" s="73">
        <f t="shared" si="7"/>
        <v>274.94000000000051</v>
      </c>
      <c r="H8" s="72">
        <f t="shared" si="2"/>
        <v>2409.5299999999997</v>
      </c>
      <c r="I8" s="70">
        <f t="shared" si="3"/>
        <v>0.31638614509021434</v>
      </c>
      <c r="J8" s="70">
        <f t="shared" si="4"/>
        <v>0.60036842396806511</v>
      </c>
      <c r="K8" s="73">
        <f t="shared" si="5"/>
        <v>5800.3200000000006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35001.069999999992</v>
      </c>
      <c r="D9" s="73">
        <f>SUM(D2:D8)</f>
        <v>58094.57</v>
      </c>
      <c r="E9" s="73">
        <f t="shared" ref="E9" si="8">D9-C9</f>
        <v>23093.500000000007</v>
      </c>
      <c r="F9" s="73">
        <f t="shared" ref="F9" si="9">B9-D9</f>
        <v>7948.7900000000009</v>
      </c>
      <c r="G9" s="73">
        <f t="shared" ref="G9" si="10">C9-E9</f>
        <v>11907.569999999985</v>
      </c>
      <c r="H9" s="72">
        <f t="shared" ref="H9" si="11">E9</f>
        <v>23093.500000000007</v>
      </c>
      <c r="I9" s="70">
        <f t="shared" ref="I9" si="12">C9/B9</f>
        <v>0.52997106749262901</v>
      </c>
      <c r="J9" s="70">
        <f t="shared" ref="J9" si="13">D9/B9</f>
        <v>0.87964285887332205</v>
      </c>
      <c r="K9" s="73">
        <f t="shared" ref="K9" si="14">B9-C9</f>
        <v>31042.290000000008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2026-09-22T17:46:30Z</dcterms:modified>
</cp:coreProperties>
</file>