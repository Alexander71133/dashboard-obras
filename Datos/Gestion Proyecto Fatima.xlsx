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1138BAF3-F50A-48D3-AC43-60F1072403E0}" xr6:coauthVersionLast="46" xr6:coauthVersionMax="46" xr10:uidLastSave="{00000000-0000-0000-0000-000000000000}"/>
  <bookViews>
    <workbookView xWindow="0" yWindow="0" windowWidth="20490" windowHeight="1092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9" i="9"/>
  <c r="G9" i="9" s="1"/>
  <c r="G6" i="9"/>
  <c r="G4" i="9"/>
  <c r="G8" i="9"/>
  <c r="I9" i="9"/>
  <c r="J9" i="9"/>
  <c r="K9" i="9"/>
  <c r="F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H9" i="9" l="1"/>
  <c r="A8" i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<sst xmlns="http://schemas.openxmlformats.org/spreadsheetml/2006/main" count="771" uniqueCount="349">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</sst>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  <sheetName val="Control Obras"/>
    </sheetNames>
    <sheetDataSet>
      <sheetData sheetId="0"/>
      <sheetData sheetId="1"/>
      <sheetData sheetId="2"/>
      <sheetData sheetId="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topLeftCell="B1" zoomScale="88" zoomScaleNormal="88" workbookViewId="0">
      <selection activeCell="L13" sqref="L13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2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  <c r="L1" s="32" t="s">
        <v>346</v>
      </c>
    </row>
    <row r="2" spans="1:12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27830.85</v>
      </c>
      <c r="D2" s="68">
        <f>[1]!Panel_Control[[#This Row],[Total Ingresos]]</f>
        <v>38605.82</v>
      </c>
      <c r="E2" s="68">
        <f t="shared" ref="E2:E8" si="0">D2-C2</f>
        <v>10774.970000000001</v>
      </c>
      <c r="F2" s="68">
        <f t="shared" ref="F2:G4" si="1">B2-D2</f>
        <v>0</v>
      </c>
      <c r="G2" s="68">
        <f t="shared" si="1"/>
        <v>17055.879999999997</v>
      </c>
      <c r="H2" s="68">
        <f t="shared" ref="H2:H8" si="2">E2</f>
        <v>10774.970000000001</v>
      </c>
      <c r="I2" s="72">
        <f t="shared" ref="I2:I8" si="3">C2/B2</f>
        <v>0.72089778173342778</v>
      </c>
      <c r="J2" s="72">
        <f t="shared" ref="J2:J8" si="4">D2/B2</f>
        <v>1</v>
      </c>
      <c r="K2" s="68">
        <f t="shared" ref="K2:K8" si="5">B2-C2</f>
        <v>10774.970000000001</v>
      </c>
      <c r="L2" t="s">
        <v>347</v>
      </c>
    </row>
    <row r="3" spans="1:12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  <c r="L3" t="s">
        <v>348</v>
      </c>
    </row>
    <row r="4" spans="1:12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  <c r="L4" t="s">
        <v>348</v>
      </c>
    </row>
    <row r="5" spans="1:12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8" si="6">B5-D5</f>
        <v>4210</v>
      </c>
      <c r="G5" s="68">
        <f t="shared" ref="G5:G8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  <c r="L5" t="s">
        <v>348</v>
      </c>
    </row>
    <row r="6" spans="1:12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  <c r="L6" t="s">
        <v>348</v>
      </c>
    </row>
    <row r="7" spans="1:12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  <c r="L7" t="s">
        <v>348</v>
      </c>
    </row>
    <row r="8" spans="1:12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  <c r="L8" t="s">
        <v>348</v>
      </c>
    </row>
    <row r="9" spans="1:12" x14ac:dyDescent="0.25">
      <c r="A9" s="71" t="s">
        <v>342</v>
      </c>
      <c r="B9" s="73">
        <f>SUM(B2:B8)</f>
        <v>66043.360000000001</v>
      </c>
      <c r="C9" s="73">
        <f>SUM(C2:C8)</f>
        <v>31660.85</v>
      </c>
      <c r="D9" s="73">
        <f>SUM(D2:D8)</f>
        <v>58094.57</v>
      </c>
      <c r="E9" s="68">
        <f t="shared" ref="E9" si="8">D9-C9</f>
        <v>26433.72</v>
      </c>
      <c r="F9" s="68">
        <f t="shared" ref="F9" si="9">B9-D9</f>
        <v>7948.7900000000009</v>
      </c>
      <c r="G9" s="68">
        <f t="shared" ref="G9" si="10">C9-E9</f>
        <v>5227.1299999999974</v>
      </c>
      <c r="H9" s="68">
        <f t="shared" ref="H9" si="11">E9</f>
        <v>26433.72</v>
      </c>
      <c r="I9" s="72">
        <f t="shared" ref="I9" si="12">C9/B9</f>
        <v>0.47939490056229722</v>
      </c>
      <c r="J9" s="72">
        <f t="shared" ref="J9" si="13">D9/B9</f>
        <v>0.87964285887332205</v>
      </c>
      <c r="K9" s="68">
        <f t="shared" ref="K9" si="14">B9-C9</f>
        <v>34382.51</v>
      </c>
      <c r="L9" t="s">
        <v>348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2026-09-16T19:39:43Z</dcterms:modified>
</cp:coreProperties>
</file>