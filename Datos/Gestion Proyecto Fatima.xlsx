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95BDC9B6-6B47-4A27-9FF5-756158565E87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L5" i="3"/>
  <c r="L6" i="3"/>
  <c r="I5" i="3"/>
  <c r="I6" i="3"/>
  <c r="B9" i="9" l="1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D8" i="9" l="1"/>
  <c r="F8" i="9" l="1"/>
  <c r="J8" i="9"/>
  <c r="C8" i="9" l="1"/>
  <c r="I8" i="9" l="1"/>
  <c r="K8" i="9"/>
  <c r="E8" i="9"/>
  <c r="H8" i="9" s="1"/>
  <c r="D7" i="9"/>
  <c r="D5" i="9"/>
  <c r="D6" i="9"/>
  <c r="D2" i="9"/>
  <c r="D3" i="9"/>
  <c r="D4" i="9"/>
  <c r="J7" i="9" l="1"/>
  <c r="F7" i="9"/>
  <c r="F5" i="9"/>
  <c r="J5" i="9"/>
  <c r="D9" i="9"/>
  <c r="F2" i="9"/>
  <c r="J2" i="9"/>
  <c r="F4" i="9"/>
  <c r="J4" i="9"/>
  <c r="G8" i="9"/>
  <c r="F3" i="9"/>
  <c r="J3" i="9"/>
  <c r="F6" i="9"/>
  <c r="J6" i="9"/>
  <c r="J9" i="9" l="1"/>
  <c r="F9" i="9"/>
  <c r="C4" i="9"/>
  <c r="C6" i="9"/>
  <c r="C7" i="9"/>
  <c r="C2" i="9"/>
  <c r="C3" i="9"/>
  <c r="C5" i="9"/>
  <c r="I6" i="9" l="1"/>
  <c r="K6" i="9"/>
  <c r="E6" i="9"/>
  <c r="H6" i="9" s="1"/>
  <c r="K4" i="9"/>
  <c r="I4" i="9"/>
  <c r="E4" i="9"/>
  <c r="H4" i="9" s="1"/>
  <c r="K3" i="9"/>
  <c r="I3" i="9"/>
  <c r="E3" i="9"/>
  <c r="H3" i="9" s="1"/>
  <c r="K5" i="9"/>
  <c r="I5" i="9"/>
  <c r="E5" i="9"/>
  <c r="C9" i="9"/>
  <c r="K2" i="9"/>
  <c r="I2" i="9"/>
  <c r="E2" i="9"/>
  <c r="H2" i="9" s="1"/>
  <c r="I7" i="9"/>
  <c r="K7" i="9"/>
  <c r="E7" i="9"/>
  <c r="G4" i="9" l="1"/>
  <c r="K9" i="9"/>
  <c r="I9" i="9"/>
  <c r="E9" i="9"/>
  <c r="G5" i="9"/>
  <c r="H5" i="9"/>
  <c r="G3" i="9"/>
  <c r="G7" i="9"/>
  <c r="H7" i="9"/>
  <c r="G2" i="9"/>
  <c r="G6" i="9"/>
  <c r="G9" i="9" l="1"/>
  <c r="H9" i="9"/>
</calcChain>
</file>

<file path=xl/sharedStrings.xml><?xml version="1.0" encoding="utf-8"?>
<sst xmlns="http://schemas.openxmlformats.org/spreadsheetml/2006/main" count="771" uniqueCount="349">
  <si>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</si>
  <si>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</si>
  <si>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</si>
  <si>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</si>
  <si>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</si>
  <si>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</si>
  <si>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</si>
  <si>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</si>
  <si>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</si>
  <si>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</si>
  <si>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</si>
  <si>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</si>
  <si>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</si>
  <si>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</si>
  <si>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</si>
  <si>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</si>
  <si>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</si>
  <si>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</si>
  <si>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</si>
  <si>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</si>
  <si>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</si>
  <si>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</si>
  <si>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</si>
  <si>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</si>
  <si>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</si>
  <si>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</si>
  <si>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</si>
  <si>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</si>
  <si>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</si>
  <si>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</si>
  <si>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</si>
  <si>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</si>
  <si>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</si>
  <si>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</si>
  <si>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</si>
  <si>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</si>
  <si>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</si>
  <si>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</si>
  <si>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</si>
  <si>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</si>
  <si>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</si>
  <si>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</si>
  <si>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</si>
  <si>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</si>
  <si>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</si>
  <si>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</si>
  <si>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</si>
  <si>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</si>
  <si>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</si>
  <si>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</si>
  <si>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</si>
  <si>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</si>
  <si>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</si>
  <si>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</si>
  <si>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</si>
  <si>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</si>
  <si>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</si>
  <si>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</si>
  <si>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</si>
  <si>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</si>
  <si>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</si>
  <si>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</si>
  <si>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</si>
  <si>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</si>
  <si>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</si>
  <si>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</si>
  <si>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</si>
  <si>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</si>
  <si>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</si>
  <si>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</si>
  <si>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</si>
  <si>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</si>
  <si>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</si>
  <si>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</si>
  <si>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</si>
  <si>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</si>
  <si>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</si>
  <si>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</si>
  <si>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</si>
  <si>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</si>
  <si>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</si>
  <si>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</si>
  <si>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</si>
  <si>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</si>
  <si>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</si>
  <si>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</si>
  <si>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</si>
  <si>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</si>
  <si>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</si>
  <si>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</si>
  <si>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</si>
  <si>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</si>
  <si>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</si>
  <si>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</si>
  <si>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</si>
  <si>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</si>
  <si>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</si>
  <si>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</si>
  <si>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</si>
  <si>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</si>
  <si>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</si>
  <si>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</si>
  <si>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</si>
  <si>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</si>
  <si>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</si>
  <si>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</si>
  <si>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</si>
  <si>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</si>
  <si>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</si>
  <si>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</si>
  <si>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</si>
  <si>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</si>
  <si>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</si>
  <si>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</si>
  <si>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</si>
  <si>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</si>
  <si>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</si>
  <si>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</si>
  <si>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</si>
  <si>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</si>
  <si>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</si>
  <si>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</si>
  <si>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</si>
  <si>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</si>
  <si>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</si>
  <si>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</si>
  <si>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</si>
  <si>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</si>
  <si>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</si>
  <si>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</si>
  <si>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</si>
  <si>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</si>
  <si>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</si>
  <si>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</si>
  <si>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</si>
  <si>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</si>
  <si>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</si>
  <si>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</si>
  <si>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</si>
  <si>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</si>
  <si>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</si>
  <si>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</si>
  <si>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</si>
  <si>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</si>
  <si>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</si>
  <si>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</si>
  <si>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</si>
  <si>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</si>
  <si>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</si>
  <si>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</si>
  <si>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</si>
  <si>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</si>
  <si>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</si>
  <si>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</si>
  <si>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</si>
  <si>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</si>
  <si>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</si>
  <si>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</si>
  <si>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</si>
  <si>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</si>
  <si>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</si>
  <si>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</si>
  <si>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</si>
  <si>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</si>
  <si>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</si>
  <si>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</si>
  <si>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</si>
  <si>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</si>
  <si>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</si>
  <si>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</si>
  <si>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</si>
  <si>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</si>
  <si>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</si>
  <si>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</si>
  <si>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</si>
  <si>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</si>
  <si>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</si>
  <si>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</si>
  <si>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</si>
  <si>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</si>
  <si>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</si>
  <si>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</si>
  <si>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</si>
  <si>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</si>
  <si>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</si>
  <si>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</si>
  <si>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</si>
  <si>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</si>
  <si>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</si>
  <si>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</si>
  <si>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</si>
  <si>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</si>
  <si>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</si>
  <si>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</si>
  <si>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</si>
  <si>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</si>
  <si>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</si>
  <si>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</si>
  <si>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</si>
  <si>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</si>
  <si>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</si>
  <si>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</si>
  <si>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</si>
  <si>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</si>
  <si>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</si>
  <si>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</si>
  <si>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</si>
  <si>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</si>
  <si>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</si>
  <si>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</si>
  <si>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</si>
  <si>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</si>
  <si>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</si>
  <si>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</si>
  <si>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</si>
  <si>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</si>
  <si>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</si>
  <si>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</si>
  <si>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</si>
  <si>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</si>
  <si>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</si>
  <si>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</si>
  <si>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</si>
  <si>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</si>
  <si>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</si>
  <si>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</si>
  <si>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</si>
  <si>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</si>
  <si>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</si>
  <si>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</si>
  <si>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</si>
  <si>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</si>
  <si>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</si>
  <si>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</si>
  <si>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</si>
  <si>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</si>
  <si>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</si>
  <si>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</si>
  <si>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</si>
  <si>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</si>
  <si>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</si>
  <si>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</si>
  <si>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</si>
  <si>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</si>
  <si>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</si>
  <si>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</si>
  <si>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</si>
  <si>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</si>
  <si>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</si>
  <si>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</si>
  <si>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</si>
  <si>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</si>
  <si>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</si>
  <si>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</si>
  <si>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</si>
  <si>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</si>
  <si>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</si>
  <si>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</si>
  <si>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</si>
  <si>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</si>
  <si>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</si>
  <si>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</si>
  <si>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</si>
  <si>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</si>
  <si>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</si>
  <si>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</si>
  <si>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</si>
  <si>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</si>
  <si>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</si>
  <si>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</si>
  <si>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</si>
  <si>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</si>
  <si>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</si>
  <si>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</si>
  <si>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</si>
  <si>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</si>
  <si>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</si>
  <si>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</si>
  <si>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</si>
  <si>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</si>
  <si>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</si>
  <si>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</si>
  <si>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</si>
  <si>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</si>
  <si>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</si>
  <si>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</si>
  <si>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</si>
  <si>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</si>
  <si>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</si>
  <si>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</si>
  <si>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</si>
  <si>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</si>
  <si>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</si>
  <si>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</si>
  <si>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</si>
  <si>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</si>
  <si>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</si>
  <si>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</si>
  <si>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</si>
  <si>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</si>
  <si>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</si>
  <si>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</si>
  <si>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</si>
  <si>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</si>
  <si>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</si>
  <si>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</si>
  <si>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</si>
  <si>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</si>
  <si>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</si>
  <si>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</si>
  <si>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</si>
  <si>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</si>
  <si>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</si>
  <si>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</si>
  <si>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</si>
  <si>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</si>
  <si>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</si>
  <si>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</si>
  <si>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</si>
  <si>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</si>
  <si>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</si>
  <si>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</si>
  <si>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</si>
  <si>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</si>
  <si>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</si>
  <si>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</si>
  <si>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</si>
  <si>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</si>
  <si>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</si>
  <si>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</si>
  <si>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</si>
  <si>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</si>
  <si>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</si>
  <si>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</si>
  <si>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</si>
  <si>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</si>
  <si>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</si>
  <si>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</si>
  <si>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</si>
  <si>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</si>
  <si>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</si>
  <si>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</si>
  <si>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</si>
  <si>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</si>
  <si>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</si>
  <si>
    <t>Estado</t>
  </si>
  <si>
    <t>CULMINADA</t>
  </si>
  <si>
    <t>ACTIVA</t>
  </si>
  <si>
    <t>Flujo de Caja2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</si>
</sst>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8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9" fontId="0" fillId="0" borderId="0" xfId="0" applyNumberFormat="1" applyAlignment="1">
      <alignment horizontal="left"/>
    </xf>
    <xf numFmtId="10" fontId="0" fillId="0" borderId="0" xfId="3" applyNumberFormat="1" applyFont="1" applyAlignment="1">
      <alignment horizontal="center"/>
    </xf>
    <xf numFmtId="10" fontId="0" fillId="0" borderId="0" xfId="3" applyNumberFormat="1" applyFont="1" applyFill="1" applyAlignment="1">
      <alignment horizontal="center"/>
    </xf>
    <xf numFmtId="0" fontId="11" fillId="0" borderId="0" xfId="0" applyFont="1" applyAlignment="1">
      <alignment horizontal="center"/>
    </xf>
    <xf numFmtId="164" fontId="12" fillId="0" borderId="1" xfId="0" applyNumberFormat="1" applyFont="1" applyBorder="1" applyAlignment="1">
      <alignment horizontal="center" vertic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54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E293B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CBD5E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Por pagar"/>
      <sheetName val="Configuracion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805E51-A356-4DF4-A8E3-9FB386CF607D}" name="Tabla1" displayName="Tabla1" ref="A1:L9" totalsRowShown="0" headerRowDxfId="53" dataDxfId="52">
  <autoFilter ref="A1:L9" xr:uid="{A4D9C4A4-4BEE-43F7-B482-6B69DD695700}"/>
  <tableColumns count="12">
    <tableColumn id="1" xr3:uid="{9639892B-B05F-4273-A2D0-0F26C4BDA78B}" name="Obra" dataDxfId="51"/>
    <tableColumn id="2" xr3:uid="{E24FABEC-6585-475F-BD45-D7E037225687}" name="Monto Contrato" dataDxfId="50"/>
    <tableColumn id="3" xr3:uid="{59352CEA-A0C7-4891-8730-9739502D15D6}" name="EJECUTADO" dataDxfId="49"/>
    <tableColumn id="4" xr3:uid="{4D528DAA-1E81-4553-8223-9B69EF0E3B7B}" name="DESEMBOLSADO" dataDxfId="48"/>
    <tableColumn id="5" xr3:uid="{18FC4046-0DCE-4C45-8BF6-56269B2E56F6}" name="FLUJO DE CAJA" dataDxfId="47">
      <calculatedColumnFormula>D2-C2</calculatedColumnFormula>
    </tableColumn>
    <tableColumn id="6" xr3:uid="{899F9DB9-CF23-4328-AFEE-25EC12A8B325}" name="Por cobrar" dataDxfId="46">
      <calculatedColumnFormula>B2-D2</calculatedColumnFormula>
    </tableColumn>
    <tableColumn id="7" xr3:uid="{B77ECBA9-3527-4393-B393-7789EFC2DE7E}" name="Utilidad Bruta" dataDxfId="45">
      <calculatedColumnFormula>C2-E2</calculatedColumnFormula>
    </tableColumn>
    <tableColumn id="8" xr3:uid="{D9267B23-8841-4BA0-9258-A82B5D1E3C15}" name="Flujo de Caja2" dataDxfId="44">
      <calculatedColumnFormula>E2</calculatedColumnFormula>
    </tableColumn>
    <tableColumn id="9" xr3:uid="{5216BE03-89CB-4506-AD80-2A2BC0249463}" name="% Avance Facturado" dataDxfId="43" dataCellStyle="Porcentaje">
      <calculatedColumnFormula>C2/B2</calculatedColumnFormula>
    </tableColumn>
    <tableColumn id="10" xr3:uid="{B3979176-8352-4A1E-8E53-38F1851C0B62}" name="% Avance Cobrado" dataDxfId="42" dataCellStyle="Porcentaje">
      <calculatedColumnFormula>D2/B2</calculatedColumnFormula>
    </tableColumn>
    <tableColumn id="11" xr3:uid="{94A9DD3A-AA85-4291-8F0F-8D0CF97A777A}" name="Saldo por Ejecutar" dataDxfId="41">
      <calculatedColumnFormula>B2-C2</calculatedColumnFormula>
    </tableColumn>
    <tableColumn id="12" xr3:uid="{7A3B3339-89C3-4CDF-9786-F758C4867EFC}" name="Estado" dataDxfId="4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L9"/>
  <sheetViews>
    <sheetView tabSelected="1" zoomScale="88" zoomScaleNormal="88" workbookViewId="0">
      <selection activeCell="C15" sqref="C15"/>
    </sheetView>
  </sheetViews>
  <sheetFormatPr baseColWidth="10" defaultRowHeight="15" x14ac:dyDescent="0.25"/>
  <cols>
    <col min="1" max="1" width="29.85546875" style="32" bestFit="1" customWidth="1"/>
    <col min="2" max="2" width="17.7109375" style="32" customWidth="1"/>
    <col min="3" max="3" width="29.7109375" style="32" bestFit="1" customWidth="1"/>
    <col min="4" max="4" width="33.42578125" style="32" bestFit="1" customWidth="1"/>
    <col min="5" max="5" width="19.28515625" style="32" bestFit="1" customWidth="1"/>
    <col min="6" max="6" width="12.5703125" style="32" customWidth="1"/>
    <col min="7" max="7" width="15.42578125" style="32" customWidth="1"/>
    <col min="8" max="8" width="12.28515625" style="32" hidden="1" customWidth="1"/>
    <col min="9" max="9" width="20.7109375" style="32" customWidth="1"/>
    <col min="10" max="10" width="19.42578125" style="69" customWidth="1"/>
    <col min="11" max="11" width="22.28515625" bestFit="1" customWidth="1"/>
    <col min="12" max="12" width="11.85546875" bestFit="1" customWidth="1"/>
  </cols>
  <sheetData>
    <row r="1" spans="1:12" x14ac:dyDescent="0.25">
      <c r="A1" s="32" t="s">
        <v>333</v>
      </c>
      <c r="B1" s="32" t="s">
        <v>327</v>
      </c>
      <c r="C1" s="32" t="s">
        <v>342</v>
      </c>
      <c r="D1" s="32" t="s">
        <v>343</v>
      </c>
      <c r="E1" s="32" t="s">
        <v>344</v>
      </c>
      <c r="F1" s="32" t="s">
        <v>328</v>
      </c>
      <c r="G1" s="32" t="s">
        <v>329</v>
      </c>
      <c r="H1" s="32" t="s">
        <v>348</v>
      </c>
      <c r="I1" s="32" t="s">
        <v>330</v>
      </c>
      <c r="J1" s="70" t="s">
        <v>331</v>
      </c>
      <c r="K1" s="32" t="s">
        <v>332</v>
      </c>
      <c r="L1" s="32" t="s">
        <v>345</v>
      </c>
    </row>
    <row r="2" spans="1:12" x14ac:dyDescent="0.25">
      <c r="A2" s="71" t="s">
        <v>334</v>
      </c>
      <c r="B2" s="73">
        <f>[1]!Panel_Control[[#This Row],[Monto del Contrato]]</f>
        <v>38605.82</v>
      </c>
      <c r="C2" s="73">
        <f>[1]!Panel_Control[[#This Row],[Total Ejecutado]]</f>
        <v>28642.109999999993</v>
      </c>
      <c r="D2" s="73">
        <f>[1]!Panel_Control[[#This Row],[Total Ingresos]]</f>
        <v>38605.82</v>
      </c>
      <c r="E2" s="73">
        <f t="shared" ref="E2:E8" si="0">D2-C2</f>
        <v>9963.7100000000064</v>
      </c>
      <c r="F2" s="73">
        <f t="shared" ref="F2:G4" si="1">B2-D2</f>
        <v>0</v>
      </c>
      <c r="G2" s="73">
        <f t="shared" si="1"/>
        <v>18678.399999999987</v>
      </c>
      <c r="H2" s="72">
        <f t="shared" ref="H2:H8" si="2">E2</f>
        <v>9963.7100000000064</v>
      </c>
      <c r="I2" s="70">
        <f t="shared" ref="I2:I8" si="3">C2/B2</f>
        <v>0.74191171175744985</v>
      </c>
      <c r="J2" s="70">
        <f t="shared" ref="J2:J8" si="4">D2/B2</f>
        <v>1</v>
      </c>
      <c r="K2" s="73">
        <f t="shared" ref="K2:K8" si="5">B2-C2</f>
        <v>9963.7100000000064</v>
      </c>
      <c r="L2" t="s">
        <v>346</v>
      </c>
    </row>
    <row r="3" spans="1:12" x14ac:dyDescent="0.25">
      <c r="A3" s="71" t="s">
        <v>335</v>
      </c>
      <c r="B3" s="73">
        <f>[1]!Panel_Control[[#This Row],[Monto del Contrato]]</f>
        <v>580</v>
      </c>
      <c r="C3" s="73">
        <f>[1]!Panel_Control[[#This Row],[Total Ejecutado]]</f>
        <v>315</v>
      </c>
      <c r="D3" s="73">
        <f>[1]!Panel_Control[[#This Row],[Total Ingresos]]</f>
        <v>406</v>
      </c>
      <c r="E3" s="73">
        <f t="shared" si="0"/>
        <v>91</v>
      </c>
      <c r="F3" s="73">
        <f t="shared" si="1"/>
        <v>174</v>
      </c>
      <c r="G3" s="73">
        <f t="shared" si="1"/>
        <v>224</v>
      </c>
      <c r="H3" s="72">
        <f t="shared" si="2"/>
        <v>91</v>
      </c>
      <c r="I3" s="70">
        <f t="shared" si="3"/>
        <v>0.5431034482758621</v>
      </c>
      <c r="J3" s="70">
        <f t="shared" si="4"/>
        <v>0.7</v>
      </c>
      <c r="K3" s="73">
        <f t="shared" si="5"/>
        <v>265</v>
      </c>
      <c r="L3" t="s">
        <v>347</v>
      </c>
    </row>
    <row r="4" spans="1:12" x14ac:dyDescent="0.25">
      <c r="A4" s="71" t="s">
        <v>336</v>
      </c>
      <c r="B4" s="73">
        <f>[1]!Panel_Control[[#This Row],[Monto del Contrato]]</f>
        <v>580</v>
      </c>
      <c r="C4" s="73">
        <f>[1]!Panel_Control[[#This Row],[Total Ejecutado]]</f>
        <v>315</v>
      </c>
      <c r="D4" s="73">
        <f>[1]!Panel_Control[[#This Row],[Total Ingresos]]</f>
        <v>406</v>
      </c>
      <c r="E4" s="73">
        <f t="shared" si="0"/>
        <v>91</v>
      </c>
      <c r="F4" s="73">
        <f t="shared" si="1"/>
        <v>174</v>
      </c>
      <c r="G4" s="73">
        <f t="shared" si="1"/>
        <v>224</v>
      </c>
      <c r="H4" s="72">
        <f t="shared" si="2"/>
        <v>91</v>
      </c>
      <c r="I4" s="70">
        <f t="shared" si="3"/>
        <v>0.5431034482758621</v>
      </c>
      <c r="J4" s="70">
        <f t="shared" si="4"/>
        <v>0.7</v>
      </c>
      <c r="K4" s="73">
        <f t="shared" si="5"/>
        <v>265</v>
      </c>
      <c r="L4" t="s">
        <v>347</v>
      </c>
    </row>
    <row r="5" spans="1:12" x14ac:dyDescent="0.25">
      <c r="A5" s="71" t="s">
        <v>337</v>
      </c>
      <c r="B5" s="73">
        <f>[1]!Panel_Control[[#This Row],[Monto del Contrato]]</f>
        <v>10524</v>
      </c>
      <c r="C5" s="73">
        <f>[1]!Panel_Control[[#This Row],[Total Ejecutado]]</f>
        <v>3236.5699999999997</v>
      </c>
      <c r="D5" s="73">
        <f>[1]!Panel_Control[[#This Row],[Total Ingresos]]</f>
        <v>6314</v>
      </c>
      <c r="E5" s="73">
        <f t="shared" si="0"/>
        <v>3077.4300000000003</v>
      </c>
      <c r="F5" s="73">
        <f t="shared" ref="F5:F8" si="6">B5-D5</f>
        <v>4210</v>
      </c>
      <c r="G5" s="73">
        <f t="shared" ref="G5:G8" si="7">C5-E5</f>
        <v>159.13999999999942</v>
      </c>
      <c r="H5" s="72">
        <f t="shared" si="2"/>
        <v>3077.4300000000003</v>
      </c>
      <c r="I5" s="70">
        <f t="shared" si="3"/>
        <v>0.30754180919802354</v>
      </c>
      <c r="J5" s="70">
        <f t="shared" si="4"/>
        <v>0.59996199163816044</v>
      </c>
      <c r="K5" s="73">
        <f t="shared" si="5"/>
        <v>7287.43</v>
      </c>
      <c r="L5" t="s">
        <v>347</v>
      </c>
    </row>
    <row r="6" spans="1:12" x14ac:dyDescent="0.25">
      <c r="A6" s="71" t="s">
        <v>338</v>
      </c>
      <c r="B6" s="73">
        <f>[1]!Panel_Control[[#This Row],[Monto del Contrato]]</f>
        <v>5525</v>
      </c>
      <c r="C6" s="73">
        <f>[1]!Panel_Control[[#This Row],[Total Ejecutado]]</f>
        <v>276.25</v>
      </c>
      <c r="D6" s="73">
        <f>[1]!Panel_Control[[#This Row],[Total Ingresos]]</f>
        <v>5525</v>
      </c>
      <c r="E6" s="73">
        <f t="shared" si="0"/>
        <v>5248.75</v>
      </c>
      <c r="F6" s="73">
        <f t="shared" si="6"/>
        <v>0</v>
      </c>
      <c r="G6" s="73">
        <f t="shared" si="7"/>
        <v>-4972.5</v>
      </c>
      <c r="H6" s="72">
        <f t="shared" si="2"/>
        <v>5248.75</v>
      </c>
      <c r="I6" s="70">
        <f t="shared" si="3"/>
        <v>0.05</v>
      </c>
      <c r="J6" s="70">
        <f t="shared" si="4"/>
        <v>1</v>
      </c>
      <c r="K6" s="73">
        <f t="shared" si="5"/>
        <v>5248.75</v>
      </c>
      <c r="L6" t="s">
        <v>347</v>
      </c>
    </row>
    <row r="7" spans="1:12" x14ac:dyDescent="0.25">
      <c r="A7" s="71" t="s">
        <v>339</v>
      </c>
      <c r="B7" s="73">
        <f>[1]!Panel_Control[[#This Row],[Monto del Contrato]]</f>
        <v>1743.75</v>
      </c>
      <c r="C7" s="73">
        <f>[1]!Panel_Control[[#This Row],[Total Ejecutado]]</f>
        <v>87.18</v>
      </c>
      <c r="D7" s="73">
        <f>[1]!Panel_Control[[#This Row],[Total Ingresos]]</f>
        <v>1743.75</v>
      </c>
      <c r="E7" s="73">
        <f t="shared" si="0"/>
        <v>1656.57</v>
      </c>
      <c r="F7" s="73">
        <f t="shared" si="6"/>
        <v>0</v>
      </c>
      <c r="G7" s="73">
        <f t="shared" si="7"/>
        <v>-1569.3899999999999</v>
      </c>
      <c r="H7" s="72">
        <f t="shared" si="2"/>
        <v>1656.57</v>
      </c>
      <c r="I7" s="70">
        <f t="shared" si="3"/>
        <v>4.9995698924731186E-2</v>
      </c>
      <c r="J7" s="70">
        <f t="shared" si="4"/>
        <v>1</v>
      </c>
      <c r="K7" s="73">
        <f t="shared" si="5"/>
        <v>1656.57</v>
      </c>
      <c r="L7" t="s">
        <v>347</v>
      </c>
    </row>
    <row r="8" spans="1:12" x14ac:dyDescent="0.25">
      <c r="A8" s="71" t="s">
        <v>340</v>
      </c>
      <c r="B8" s="73">
        <f>[1]!Panel_Control[[#This Row],[Monto del Contrato]]</f>
        <v>8484.7900000000009</v>
      </c>
      <c r="C8" s="73">
        <f>[1]!Panel_Control[[#This Row],[Total Ejecutado]]</f>
        <v>4317.76</v>
      </c>
      <c r="D8" s="73">
        <f>[1]!Panel_Control[[#This Row],[Total Ingresos]]</f>
        <v>5094</v>
      </c>
      <c r="E8" s="73">
        <f t="shared" si="0"/>
        <v>776.23999999999978</v>
      </c>
      <c r="F8" s="73">
        <f t="shared" si="6"/>
        <v>3390.7900000000009</v>
      </c>
      <c r="G8" s="73">
        <f t="shared" si="7"/>
        <v>3541.5200000000004</v>
      </c>
      <c r="H8" s="72">
        <f t="shared" si="2"/>
        <v>776.23999999999978</v>
      </c>
      <c r="I8" s="70">
        <f t="shared" si="3"/>
        <v>0.50888236479630022</v>
      </c>
      <c r="J8" s="70">
        <f t="shared" si="4"/>
        <v>0.60036842396806511</v>
      </c>
      <c r="K8" s="73">
        <f t="shared" si="5"/>
        <v>4167.0300000000007</v>
      </c>
      <c r="L8" t="s">
        <v>347</v>
      </c>
    </row>
    <row r="9" spans="1:12" x14ac:dyDescent="0.25">
      <c r="A9" s="71" t="s">
        <v>341</v>
      </c>
      <c r="B9" s="73">
        <f>SUM(B2:B8)</f>
        <v>66043.360000000001</v>
      </c>
      <c r="C9" s="73">
        <f>SUM(C2:C8)</f>
        <v>37189.869999999995</v>
      </c>
      <c r="D9" s="73">
        <f>SUM(D2:D8)</f>
        <v>58094.57</v>
      </c>
      <c r="E9" s="73">
        <f t="shared" ref="E9" si="8">D9-C9</f>
        <v>20904.700000000004</v>
      </c>
      <c r="F9" s="73">
        <f t="shared" ref="F9" si="9">B9-D9</f>
        <v>7948.7900000000009</v>
      </c>
      <c r="G9" s="73">
        <f t="shared" ref="G9" si="10">C9-E9</f>
        <v>16285.169999999991</v>
      </c>
      <c r="H9" s="72">
        <f t="shared" ref="H9" si="11">E9</f>
        <v>20904.700000000004</v>
      </c>
      <c r="I9" s="70">
        <f t="shared" ref="I9" si="12">C9/B9</f>
        <v>0.56311293065646562</v>
      </c>
      <c r="J9" s="70">
        <f t="shared" ref="J9" si="13">D9/B9</f>
        <v>0.87964285887332205</v>
      </c>
      <c r="K9" s="73">
        <f t="shared" ref="K9" si="14">B9-C9</f>
        <v>28853.490000000005</v>
      </c>
      <c r="L9" t="s">
        <v>347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8" t="s">
        <v>132</v>
      </c>
      <c r="B1" s="79"/>
      <c r="C1" s="79"/>
      <c r="D1" s="79"/>
      <c r="E1" s="79"/>
      <c r="F1" s="79"/>
      <c r="G1" s="79"/>
      <c r="H1" s="79"/>
      <c r="I1" s="79"/>
    </row>
    <row r="2" spans="1:9" x14ac:dyDescent="0.25">
      <c r="A2" s="79"/>
      <c r="B2" s="79"/>
      <c r="C2" s="79"/>
      <c r="D2" s="79"/>
      <c r="E2" s="79"/>
      <c r="F2" s="79"/>
      <c r="G2" s="79"/>
      <c r="H2" s="79"/>
      <c r="I2" s="79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7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7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68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68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8" t="s">
        <v>12</v>
      </c>
      <c r="B1" s="79"/>
      <c r="C1" s="79"/>
      <c r="D1" s="79"/>
      <c r="E1" s="79"/>
    </row>
    <row r="2" spans="1:5" x14ac:dyDescent="0.25">
      <c r="A2" s="79"/>
      <c r="B2" s="79"/>
      <c r="C2" s="79"/>
      <c r="D2" s="79"/>
      <c r="E2" s="79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8" t="s">
        <v>25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3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8" t="s">
        <v>57</v>
      </c>
      <c r="B1" s="78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</row>
    <row r="2" spans="1:14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2026-09-28T14:51:33Z</dcterms:modified>
</cp:coreProperties>
</file>