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3D79CCF4-2A16-4338-A958-1D9E3FC20E0E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K3" i="9" l="1"/>
  <c r="H3" i="9"/>
  <c r="J2" i="9"/>
  <c r="I2" i="9"/>
  <c r="D2" i="9"/>
  <c r="C2" i="9"/>
  <c r="F2" i="9" s="1"/>
  <c r="B2" i="9"/>
  <c r="L5" i="3"/>
  <c r="L6" i="3"/>
  <c r="I5" i="3"/>
  <c r="I6" i="3"/>
  <c r="J3" i="9" l="1"/>
  <c r="I3" i="9"/>
  <c r="G3" i="9"/>
  <c r="F3" i="9"/>
  <c r="G2" i="9"/>
  <c r="H2" i="9"/>
  <c r="K2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s="1"/>
  <c r="C5" i="1" l="1"/>
  <c r="G5" i="1" s="1"/>
  <c r="C13" i="1"/>
  <c r="C18" i="1" s="1"/>
  <c r="E18" i="1" s="1"/>
  <c r="E17" i="1"/>
  <c r="D17" i="1"/>
  <c r="D18" i="1" l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</calcChain>
</file>

<file path=xl/sharedStrings.xml><?xml version="1.0" encoding="utf-8"?>
<sst xmlns="http://schemas.openxmlformats.org/spreadsheetml/2006/main" count="756" uniqueCount="340">
  <si>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</si>
  <si>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</si>
  <si>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</si>
  <si>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</si>
  <si>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</si>
  <si>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</si>
  <si>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</si>
  <si>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</si>
  <si>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</si>
  <si>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</si>
  <si>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</si>
  <si>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</si>
  <si>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</si>
  <si>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</si>
  <si>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</si>
  <si>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</si>
  <si>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</si>
  <si>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</si>
  <si>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</si>
  <si>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</si>
  <si>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</si>
  <si>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</si>
  <si>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</si>
  <si>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</si>
  <si>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</si>
  <si>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</si>
  <si>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</si>
  <si>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</si>
  <si>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</si>
  <si>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</si>
  <si>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</si>
  <si>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</si>
  <si>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</si>
  <si>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</si>
  <si>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</si>
  <si>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</si>
  <si>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</si>
  <si>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</si>
  <si>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</si>
  <si>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</si>
  <si>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</si>
  <si>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</si>
  <si>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</si>
  <si>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</si>
  <si>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</si>
  <si>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</si>
  <si>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</si>
  <si>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</si>
  <si>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</si>
  <si>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</si>
  <si>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</si>
  <si>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</si>
  <si>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</si>
  <si>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</si>
  <si>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</si>
  <si>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</si>
  <si>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</si>
  <si>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</si>
  <si>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</si>
  <si>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</si>
  <si>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</si>
  <si>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</si>
  <si>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</si>
  <si>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</si>
  <si>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</si>
  <si>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</si>
  <si>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</si>
  <si>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</si>
  <si>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</si>
  <si>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</si>
  <si>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</si>
  <si>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</si>
  <si>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</si>
  <si>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</si>
  <si>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</si>
  <si>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</si>
  <si>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</si>
  <si>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</si>
  <si>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</si>
  <si>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</si>
  <si>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</si>
  <si>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</si>
  <si>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</si>
  <si>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</si>
  <si>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</si>
  <si>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</si>
  <si>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</si>
  <si>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</si>
  <si>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</si>
  <si>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</si>
  <si>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</si>
  <si>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</si>
  <si>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</si>
  <si>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</si>
  <si>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</si>
  <si>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</si>
  <si>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</si>
  <si>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</si>
  <si>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</si>
  <si>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</si>
  <si>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</si>
  <si>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</si>
  <si>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</si>
  <si>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</si>
  <si>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</si>
  <si>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</si>
  <si>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</si>
  <si>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</si>
  <si>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</si>
  <si>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</si>
  <si>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</si>
  <si>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</si>
  <si>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</si>
  <si>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</si>
  <si>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</si>
  <si>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</si>
  <si>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</si>
  <si>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</si>
  <si>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</si>
  <si>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</si>
  <si>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</si>
  <si>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</si>
  <si>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</si>
  <si>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</si>
  <si>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</si>
  <si>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</si>
  <si>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</si>
  <si>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</si>
  <si>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</si>
  <si>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</si>
  <si>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</si>
  <si>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</si>
  <si>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</si>
  <si>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</si>
  <si>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</si>
  <si>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</si>
  <si>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</si>
  <si>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</si>
  <si>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</si>
  <si>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</si>
  <si>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</si>
  <si>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</si>
  <si>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</si>
  <si>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</si>
  <si>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</si>
  <si>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</si>
  <si>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</si>
  <si>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</si>
  <si>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</si>
  <si>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</si>
  <si>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</si>
  <si>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</si>
  <si>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</si>
  <si>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</si>
  <si>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</si>
  <si>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</si>
  <si>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</si>
  <si>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</si>
  <si>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</si>
  <si>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</si>
  <si>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</si>
  <si>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</si>
  <si>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</si>
  <si>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</si>
  <si>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</si>
  <si>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</si>
  <si>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</si>
  <si>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</si>
  <si>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</si>
  <si>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</si>
  <si>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</si>
  <si>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</si>
  <si>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</si>
  <si>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</si>
  <si>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</si>
  <si>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</si>
  <si>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</si>
  <si>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</si>
  <si>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</si>
  <si>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</si>
  <si>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</si>
  <si>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</si>
  <si>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</si>
  <si>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</si>
  <si>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</si>
  <si>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</si>
  <si>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</si>
  <si>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</si>
  <si>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</si>
  <si>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</si>
  <si>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</si>
  <si>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</si>
  <si>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</si>
  <si>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</si>
  <si>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</si>
  <si>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</si>
  <si>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</si>
  <si>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</si>
  <si>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</si>
  <si>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</si>
  <si>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</si>
  <si>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</si>
  <si>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</si>
  <si>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</si>
  <si>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</si>
  <si>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</si>
  <si>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</si>
  <si>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</si>
  <si>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</si>
  <si>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</si>
  <si>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</si>
  <si>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</si>
  <si>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</si>
  <si>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</si>
  <si>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</si>
  <si>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</si>
  <si>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</si>
  <si>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</si>
  <si>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</si>
  <si>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</si>
  <si>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</si>
  <si>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</si>
  <si>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</si>
  <si>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</si>
  <si>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</si>
  <si>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</si>
  <si>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</si>
  <si>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</si>
  <si>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</si>
  <si>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</si>
  <si>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</si>
  <si>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</si>
  <si>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</si>
  <si>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</si>
  <si>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</si>
  <si>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</si>
  <si>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</si>
  <si>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</si>
  <si>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</si>
  <si>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</si>
  <si>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</si>
  <si>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</si>
  <si>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</si>
  <si>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</si>
  <si>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</si>
  <si>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</si>
  <si>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</si>
  <si>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</si>
  <si>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</si>
  <si>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</si>
  <si>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</si>
  <si>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</si>
  <si>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</si>
  <si>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</si>
  <si>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</si>
  <si>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</si>
  <si>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</si>
  <si>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</si>
  <si>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</si>
  <si>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</si>
  <si>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</si>
  <si>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</si>
  <si>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</si>
  <si>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</si>
  <si>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</si>
  <si>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</si>
  <si>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</si>
  <si>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</si>
  <si>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</si>
  <si>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</si>
  <si>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</si>
  <si>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</si>
  <si>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</si>
  <si>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</si>
  <si>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</si>
  <si>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</si>
  <si>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</si>
  <si>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</si>
  <si>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</si>
  <si>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</si>
  <si>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</si>
  <si>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</si>
  <si>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</si>
  <si>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</si>
  <si>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</si>
  <si>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</si>
  <si>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</si>
  <si>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</si>
  <si>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</si>
  <si>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</si>
  <si>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</si>
  <si>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</si>
  <si>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</si>
  <si>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</si>
  <si>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</si>
  <si>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</si>
  <si>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</si>
  <si>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</si>
  <si>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</si>
  <si>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</si>
  <si>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</si>
  <si>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</si>
  <si>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</si>
  <si>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</si>
  <si>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</si>
  <si>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</si>
  <si>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</si>
  <si>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</si>
  <si>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</si>
  <si>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</si>
  <si>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</si>
  <si>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</si>
  <si>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</si>
  <si>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</si>
  <si>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</si>
  <si>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</si>
  <si>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</si>
  <si>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</si>
  <si>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</si>
  <si>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</si>
  <si>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</si>
  <si>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</si>
  <si>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</si>
  <si>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</si>
  <si>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</si>
  <si>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</si>
  <si>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</si>
  <si>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</si>
  <si>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</si>
  <si>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</si>
  <si>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</si>
  <si>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</si>
  <si>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</si>
  <si>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</si>
  <si>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</si>
  <si>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</si>
  <si>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</si>
  <si>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</si>
  <si>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</si>
  <si>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centro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</si>
</sst>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10"/>
  <sheetViews>
    <sheetView tabSelected="1" zoomScale="90" zoomScaleNormal="90" workbookViewId="0">
      <selection activeCell="J3" sqref="J3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f>Presupuesto!E11</f>
        <v>43821.59</v>
      </c>
      <c r="C2" s="69">
        <f>Dashboard!C14</f>
        <v>21784.026381865144</v>
      </c>
      <c r="D2" s="68">
        <f>Dashboard!B23</f>
        <v>33203.99</v>
      </c>
      <c r="E2" s="68">
        <v>21784.03</v>
      </c>
      <c r="F2" s="68">
        <f>C2-D2</f>
        <v>-11419.963618134854</v>
      </c>
      <c r="G2" s="68">
        <f>C2-E2</f>
        <v>-3.6181348550599068E-3</v>
      </c>
      <c r="H2" s="68">
        <f>D2-E2</f>
        <v>11419.96</v>
      </c>
      <c r="I2" s="72">
        <f>C2/B2</f>
        <v>0.49710716525496096</v>
      </c>
      <c r="J2" s="72">
        <f>D2/B2</f>
        <v>0.75770847201117075</v>
      </c>
      <c r="K2" s="68">
        <f>B2-C2</f>
        <v>22037.563618134853</v>
      </c>
    </row>
    <row r="3" spans="1:11" x14ac:dyDescent="0.25">
      <c r="A3" s="71" t="s">
        <v>339</v>
      </c>
      <c r="B3" s="68">
        <v>30000</v>
      </c>
      <c r="C3" s="69">
        <v>10000</v>
      </c>
      <c r="D3" s="68">
        <v>15000</v>
      </c>
      <c r="E3" s="68">
        <v>10000</v>
      </c>
      <c r="F3" s="68">
        <f>C3-D3</f>
        <v>-5000</v>
      </c>
      <c r="G3" s="68">
        <f>C3-E3</f>
        <v>0</v>
      </c>
      <c r="H3" s="68">
        <f>D3-E3</f>
        <v>5000</v>
      </c>
      <c r="I3" s="72">
        <f>C3/B3</f>
        <v>0.33333333333333331</v>
      </c>
      <c r="J3" s="72">
        <f>D3/B3</f>
        <v>0.5</v>
      </c>
      <c r="K3" s="68">
        <f>B3-C3</f>
        <v>20000</v>
      </c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  <row r="9" spans="1:11" x14ac:dyDescent="0.25">
      <c r="A9" s="71"/>
      <c r="B9" s="68"/>
      <c r="C9" s="69"/>
      <c r="D9" s="68"/>
      <c r="E9" s="68"/>
      <c r="F9" s="68"/>
      <c r="G9" s="68"/>
      <c r="H9" s="68"/>
      <c r="I9" s="72"/>
      <c r="K9" s="68"/>
    </row>
    <row r="10" spans="1:11" x14ac:dyDescent="0.25">
      <c r="A10" s="71"/>
      <c r="B10" s="68"/>
      <c r="C10" s="69"/>
      <c r="D10" s="68"/>
      <c r="E10" s="68"/>
      <c r="F10" s="68"/>
      <c r="G10" s="68"/>
      <c r="H10" s="68"/>
      <c r="I10" s="72"/>
      <c r="K10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3" sqref="B23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6" t="s">
        <v>132</v>
      </c>
      <c r="B1" s="77"/>
      <c r="C1" s="77"/>
      <c r="D1" s="77"/>
      <c r="E1" s="77"/>
      <c r="F1" s="77"/>
      <c r="G1" s="77"/>
      <c r="H1" s="77"/>
      <c r="I1" s="77"/>
    </row>
    <row r="2" spans="1:9" x14ac:dyDescent="0.25">
      <c r="A2" s="77"/>
      <c r="B2" s="77"/>
      <c r="C2" s="77"/>
      <c r="D2" s="77"/>
      <c r="E2" s="77"/>
      <c r="F2" s="77"/>
      <c r="G2" s="77"/>
      <c r="H2" s="77"/>
      <c r="I2" s="77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8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8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6" t="s">
        <v>12</v>
      </c>
      <c r="B1" s="77"/>
      <c r="C1" s="77"/>
      <c r="D1" s="77"/>
      <c r="E1" s="77"/>
    </row>
    <row r="2" spans="1:5" x14ac:dyDescent="0.25">
      <c r="A2" s="77"/>
      <c r="B2" s="77"/>
      <c r="C2" s="77"/>
      <c r="D2" s="77"/>
      <c r="E2" s="77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6" t="s">
        <v>25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3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6" t="s">
        <v>57</v>
      </c>
      <c r="B1" s="76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2026-08-17T20:18:11Z</dcterms:modified>
</cp:coreProperties>
</file>