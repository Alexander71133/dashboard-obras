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86C95BED-26CA-402F-88D5-C9A1696350FC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J3" i="9" l="1"/>
  <c r="J4" i="9"/>
  <c r="J5" i="9"/>
  <c r="J6" i="9"/>
  <c r="J7" i="9"/>
  <c r="J8" i="9"/>
  <c r="J9" i="9"/>
  <c r="J10" i="9"/>
  <c r="J2" i="9"/>
  <c r="I3" i="9"/>
  <c r="I4" i="9"/>
  <c r="I5" i="9"/>
  <c r="I6" i="9"/>
  <c r="I7" i="9"/>
  <c r="I8" i="9"/>
  <c r="I9" i="9"/>
  <c r="I10" i="9"/>
  <c r="I2" i="9"/>
  <c r="H3" i="9"/>
  <c r="H5" i="9"/>
  <c r="F8" i="9"/>
  <c r="F10" i="9"/>
  <c r="K4" i="9"/>
  <c r="C5" i="9"/>
  <c r="G5" i="9" s="1"/>
  <c r="K3" i="9"/>
  <c r="H4" i="9"/>
  <c r="K6" i="9"/>
  <c r="F6" i="9"/>
  <c r="G6" i="9"/>
  <c r="H6" i="9"/>
  <c r="F7" i="9"/>
  <c r="G7" i="9"/>
  <c r="H7" i="9"/>
  <c r="K7" i="9"/>
  <c r="G8" i="9"/>
  <c r="H8" i="9"/>
  <c r="K9" i="9"/>
  <c r="H9" i="9"/>
  <c r="F9" i="9"/>
  <c r="G9" i="9"/>
  <c r="K10" i="9"/>
  <c r="G10" i="9"/>
  <c r="D2" i="9"/>
  <c r="C2" i="9"/>
  <c r="F2" i="9" s="1"/>
  <c r="B2" i="9"/>
  <c r="L5" i="3"/>
  <c r="L6" i="3"/>
  <c r="I5" i="3"/>
  <c r="I6" i="3"/>
  <c r="K5" i="9" l="1"/>
  <c r="F5" i="9"/>
  <c r="K8" i="9"/>
  <c r="G4" i="9"/>
  <c r="H10" i="9"/>
  <c r="F4" i="9"/>
  <c r="G3" i="9"/>
  <c r="F3" i="9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<sst xmlns="http://schemas.openxmlformats.org/spreadsheetml/2006/main" count="763" uniqueCount="345">
  <si>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</si>
  <si>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</si>
  <si>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</si>
  <si>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</si>
  <si>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</si>
  <si>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</si>
  <si>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</si>
  <si>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</si>
  <si>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</si>
  <si>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</si>
  <si>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</si>
  <si>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</si>
  <si>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</si>
  <si>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</si>
  <si>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</si>
  <si>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</si>
  <si>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</si>
  <si>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</si>
  <si>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</si>
  <si>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</si>
  <si>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</si>
  <si>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</si>
  <si>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</si>
  <si>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</si>
  <si>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</si>
  <si>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</si>
  <si>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</si>
  <si>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</si>
  <si>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</si>
  <si>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</si>
  <si>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</si>
  <si>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</si>
  <si>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</si>
  <si>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</si>
  <si>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</si>
  <si>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</si>
  <si>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</si>
  <si>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</si>
  <si>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</si>
  <si>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</si>
  <si>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</si>
  <si>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</si>
  <si>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</si>
  <si>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</si>
  <si>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</si>
  <si>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</si>
  <si>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</si>
  <si>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</si>
  <si>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</si>
  <si>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</si>
  <si>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</si>
  <si>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</si>
  <si>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</si>
  <si>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</si>
  <si>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</si>
  <si>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</si>
  <si>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</si>
  <si>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</si>
  <si>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</si>
  <si>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</si>
  <si>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</si>
  <si>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</si>
  <si>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</si>
  <si>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</si>
  <si>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</si>
  <si>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</si>
  <si>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</si>
  <si>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</si>
  <si>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</si>
  <si>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</si>
  <si>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</si>
  <si>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</si>
  <si>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</si>
  <si>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</si>
  <si>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</si>
  <si>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</si>
  <si>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</si>
  <si>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</si>
  <si>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</si>
  <si>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</si>
  <si>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</si>
  <si>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</si>
  <si>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</si>
  <si>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</si>
  <si>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</si>
  <si>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</si>
  <si>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</si>
  <si>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</si>
  <si>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</si>
  <si>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</si>
  <si>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</si>
  <si>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</si>
  <si>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</si>
  <si>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</si>
  <si>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</si>
  <si>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</si>
  <si>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</si>
  <si>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</si>
  <si>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</si>
  <si>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</si>
  <si>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</si>
  <si>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</si>
  <si>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</si>
  <si>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</si>
  <si>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</si>
  <si>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</si>
  <si>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</si>
  <si>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</si>
  <si>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</si>
  <si>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</si>
  <si>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</si>
  <si>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</si>
  <si>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</si>
  <si>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</si>
  <si>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</si>
  <si>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</si>
  <si>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</si>
  <si>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</si>
  <si>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</si>
  <si>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</si>
  <si>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</si>
  <si>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</si>
  <si>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</si>
  <si>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</si>
  <si>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</si>
  <si>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</si>
  <si>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</si>
  <si>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</si>
  <si>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</si>
  <si>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</si>
  <si>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</si>
  <si>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</si>
  <si>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</si>
  <si>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</si>
  <si>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</si>
  <si>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</si>
  <si>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</si>
  <si>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</si>
  <si>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</si>
  <si>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</si>
  <si>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</si>
  <si>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</si>
  <si>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</si>
  <si>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</si>
  <si>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</si>
  <si>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</si>
  <si>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</si>
  <si>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</si>
  <si>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</si>
  <si>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</si>
  <si>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</si>
  <si>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</si>
  <si>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</si>
  <si>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</si>
  <si>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</si>
  <si>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</si>
  <si>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</si>
  <si>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</si>
  <si>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</si>
  <si>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</si>
  <si>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</si>
  <si>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</si>
  <si>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</si>
  <si>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</si>
  <si>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</si>
  <si>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</si>
  <si>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</si>
  <si>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</si>
  <si>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</si>
  <si>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</si>
  <si>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</si>
  <si>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</si>
  <si>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</si>
  <si>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</si>
  <si>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</si>
  <si>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</si>
  <si>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</si>
  <si>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</si>
  <si>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</si>
  <si>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</si>
  <si>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</si>
  <si>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</si>
  <si>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</si>
  <si>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</si>
  <si>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</si>
  <si>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</si>
  <si>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</si>
  <si>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</si>
  <si>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</si>
  <si>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</si>
  <si>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</si>
  <si>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</si>
  <si>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</si>
  <si>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</si>
  <si>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</si>
  <si>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</si>
  <si>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</si>
  <si>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</si>
  <si>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</si>
  <si>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</si>
  <si>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</si>
  <si>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</si>
  <si>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</si>
  <si>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</si>
  <si>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</si>
  <si>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</si>
  <si>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</si>
  <si>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</si>
  <si>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</si>
  <si>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</si>
  <si>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</si>
  <si>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</si>
  <si>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</si>
  <si>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</si>
  <si>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</si>
  <si>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</si>
  <si>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</si>
  <si>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</si>
  <si>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</si>
  <si>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</si>
  <si>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</si>
  <si>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</si>
  <si>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</si>
  <si>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</si>
  <si>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</si>
  <si>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</si>
  <si>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</si>
  <si>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</si>
  <si>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</si>
  <si>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</si>
  <si>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</si>
  <si>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</si>
  <si>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</si>
  <si>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</si>
  <si>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</si>
  <si>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</si>
  <si>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</si>
  <si>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</si>
  <si>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</si>
  <si>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</si>
  <si>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</si>
  <si>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</si>
  <si>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</si>
  <si>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</si>
  <si>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</si>
  <si>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</si>
  <si>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</si>
  <si>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</si>
  <si>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</si>
  <si>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</si>
  <si>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</si>
  <si>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</si>
  <si>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</si>
  <si>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</si>
  <si>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</si>
  <si>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</si>
  <si>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</si>
  <si>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</si>
  <si>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</si>
  <si>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</si>
  <si>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</si>
  <si>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</si>
  <si>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</si>
  <si>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</si>
  <si>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</si>
  <si>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</si>
  <si>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</si>
  <si>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</si>
  <si>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</si>
  <si>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</si>
  <si>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</si>
  <si>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</si>
  <si>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</si>
  <si>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</si>
  <si>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</si>
  <si>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</si>
  <si>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</si>
  <si>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</si>
  <si>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</si>
  <si>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</si>
  <si>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</si>
  <si>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</si>
  <si>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</si>
  <si>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</si>
  <si>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</si>
  <si>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</si>
  <si>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</si>
  <si>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</si>
  <si>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</si>
  <si>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</si>
  <si>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</si>
  <si>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</si>
  <si>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</si>
  <si>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</si>
  <si>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</si>
  <si>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</si>
  <si>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</si>
  <si>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</si>
  <si>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</si>
  <si>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</si>
  <si>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</si>
  <si>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</si>
  <si>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</si>
  <si>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</si>
  <si>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</si>
  <si>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</si>
  <si>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</si>
  <si>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</si>
  <si>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</si>
  <si>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</si>
  <si>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</si>
  <si>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</si>
  <si>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</si>
  <si>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</si>
  <si>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</si>
  <si>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</si>
  <si>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</si>
  <si>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</si>
  <si>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</si>
  <si>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</si>
  <si>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</si>
  <si>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</si>
  <si>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</si>
  <si>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</si>
  <si>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</si>
  <si>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</si>
  <si>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</si>
  <si>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</si>
  <si>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</si>
  <si>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</si>
  <si>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</si>
  <si>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</si>
  <si>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</si>
  <si>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</si>
  <si>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</si>
  <si>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</si>
  <si>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</si>
  <si>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</si>
  <si>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</si>
  <si>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Centro</t>
  </si>
  <si>
    <t>Izp</t>
  </si>
  <si>
    <t>General</t>
  </si>
  <si>
    <t>Hospital</t>
  </si>
  <si>
    <t>Estadio</t>
  </si>
  <si>
    <t>Graderia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</si>
</sst>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10"/>
  <sheetViews>
    <sheetView tabSelected="1" zoomScale="90" zoomScaleNormal="90" workbookViewId="0">
      <selection activeCell="H3" sqref="H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>C2/B2</f>
        <v>0.49710716525496096</v>
      </c>
      <c r="J2" s="72">
        <f>D2/B2</f>
        <v>0.75770847201117075</v>
      </c>
      <c r="K2" s="68">
        <f>B2-C2</f>
        <v>22037.563618134853</v>
      </c>
    </row>
    <row r="3" spans="1:11" x14ac:dyDescent="0.25">
      <c r="A3" s="71" t="s">
        <v>339</v>
      </c>
      <c r="B3" s="68">
        <v>10000</v>
      </c>
      <c r="C3" s="69">
        <v>2000</v>
      </c>
      <c r="D3" s="68">
        <v>5000</v>
      </c>
      <c r="E3" s="68">
        <v>21785.03</v>
      </c>
      <c r="F3" s="68">
        <f t="shared" ref="F3:F10" si="0">C3-D3</f>
        <v>-3000</v>
      </c>
      <c r="G3" s="68">
        <f t="shared" ref="G3:G10" si="1">C3-E3</f>
        <v>-19785.03</v>
      </c>
      <c r="H3" s="68">
        <f t="shared" ref="H3:H10" si="2">D3-E3</f>
        <v>-16785.03</v>
      </c>
      <c r="I3" s="72">
        <f t="shared" ref="I3:I10" si="3">C3/B3</f>
        <v>0.2</v>
      </c>
      <c r="J3" s="72">
        <f t="shared" ref="J3:J10" si="4">D3/B3</f>
        <v>0.5</v>
      </c>
      <c r="K3" s="68">
        <f t="shared" ref="K3:K10" si="5">B3-C3</f>
        <v>8000</v>
      </c>
    </row>
    <row r="4" spans="1:11" x14ac:dyDescent="0.25">
      <c r="A4" s="71" t="s">
        <v>340</v>
      </c>
      <c r="B4" s="68">
        <v>50000</v>
      </c>
      <c r="C4" s="69">
        <v>25000</v>
      </c>
      <c r="D4" s="68">
        <v>28000</v>
      </c>
      <c r="E4" s="68">
        <v>21786.03</v>
      </c>
      <c r="F4" s="68">
        <f t="shared" si="0"/>
        <v>-3000</v>
      </c>
      <c r="G4" s="68">
        <f t="shared" si="1"/>
        <v>3213.9700000000012</v>
      </c>
      <c r="H4" s="68">
        <f t="shared" si="2"/>
        <v>6213.9700000000012</v>
      </c>
      <c r="I4" s="72">
        <f t="shared" si="3"/>
        <v>0.5</v>
      </c>
      <c r="J4" s="72">
        <f t="shared" si="4"/>
        <v>0.56000000000000005</v>
      </c>
      <c r="K4" s="68">
        <f t="shared" si="5"/>
        <v>25000</v>
      </c>
    </row>
    <row r="5" spans="1:11" x14ac:dyDescent="0.25">
      <c r="A5" s="71" t="s">
        <v>341</v>
      </c>
      <c r="B5" s="68">
        <v>25000</v>
      </c>
      <c r="C5" s="69">
        <f>Dashboard!C17</f>
        <v>17239.126381865146</v>
      </c>
      <c r="D5" s="68">
        <v>20000</v>
      </c>
      <c r="E5" s="68">
        <v>21787.03</v>
      </c>
      <c r="F5" s="68">
        <f t="shared" si="0"/>
        <v>-2760.873618134854</v>
      </c>
      <c r="G5" s="68">
        <f t="shared" si="1"/>
        <v>-4547.9036181348529</v>
      </c>
      <c r="H5" s="68">
        <f t="shared" si="2"/>
        <v>-1787.0299999999988</v>
      </c>
      <c r="I5" s="72">
        <f t="shared" si="3"/>
        <v>0.68956505527460588</v>
      </c>
      <c r="J5" s="72">
        <f t="shared" si="4"/>
        <v>0.8</v>
      </c>
      <c r="K5" s="68">
        <f t="shared" si="5"/>
        <v>7760.873618134854</v>
      </c>
    </row>
    <row r="6" spans="1:11" x14ac:dyDescent="0.25">
      <c r="A6" s="71" t="s">
        <v>342</v>
      </c>
      <c r="B6" s="68">
        <v>50000</v>
      </c>
      <c r="C6" s="69">
        <v>23000</v>
      </c>
      <c r="D6" s="68">
        <v>30000</v>
      </c>
      <c r="E6" s="68">
        <v>21788.03</v>
      </c>
      <c r="F6" s="68">
        <f t="shared" si="0"/>
        <v>-7000</v>
      </c>
      <c r="G6" s="68">
        <f t="shared" si="1"/>
        <v>1211.9700000000012</v>
      </c>
      <c r="H6" s="68">
        <f t="shared" si="2"/>
        <v>8211.9700000000012</v>
      </c>
      <c r="I6" s="72">
        <f t="shared" si="3"/>
        <v>0.46</v>
      </c>
      <c r="J6" s="72">
        <f t="shared" si="4"/>
        <v>0.6</v>
      </c>
      <c r="K6" s="68">
        <f t="shared" si="5"/>
        <v>27000</v>
      </c>
    </row>
    <row r="7" spans="1:11" x14ac:dyDescent="0.25">
      <c r="A7" s="71" t="s">
        <v>343</v>
      </c>
      <c r="B7" s="68">
        <v>60000</v>
      </c>
      <c r="C7" s="69">
        <v>12000</v>
      </c>
      <c r="D7" s="68">
        <v>30000</v>
      </c>
      <c r="E7" s="68">
        <v>21789.03</v>
      </c>
      <c r="F7" s="68">
        <f t="shared" si="0"/>
        <v>-18000</v>
      </c>
      <c r="G7" s="68">
        <f t="shared" si="1"/>
        <v>-9789.0299999999988</v>
      </c>
      <c r="H7" s="68">
        <f t="shared" si="2"/>
        <v>8210.9700000000012</v>
      </c>
      <c r="I7" s="72">
        <f t="shared" si="3"/>
        <v>0.2</v>
      </c>
      <c r="J7" s="72">
        <f t="shared" si="4"/>
        <v>0.5</v>
      </c>
      <c r="K7" s="68">
        <f t="shared" si="5"/>
        <v>48000</v>
      </c>
    </row>
    <row r="8" spans="1:11" x14ac:dyDescent="0.25">
      <c r="A8" s="71" t="s">
        <v>344</v>
      </c>
      <c r="B8" s="68">
        <v>70000</v>
      </c>
      <c r="C8" s="69">
        <v>35000</v>
      </c>
      <c r="D8" s="68">
        <v>35000</v>
      </c>
      <c r="E8" s="68">
        <v>21790.03</v>
      </c>
      <c r="F8" s="68">
        <f t="shared" si="0"/>
        <v>0</v>
      </c>
      <c r="G8" s="68">
        <f t="shared" si="1"/>
        <v>13209.970000000001</v>
      </c>
      <c r="H8" s="68">
        <f t="shared" si="2"/>
        <v>13209.970000000001</v>
      </c>
      <c r="I8" s="72">
        <f t="shared" si="3"/>
        <v>0.5</v>
      </c>
      <c r="J8" s="72">
        <f t="shared" si="4"/>
        <v>0.5</v>
      </c>
      <c r="K8" s="68">
        <f t="shared" si="5"/>
        <v>35000</v>
      </c>
    </row>
    <row r="9" spans="1:11" x14ac:dyDescent="0.25">
      <c r="A9" s="71" t="s">
        <v>83</v>
      </c>
      <c r="B9" s="68">
        <v>60000</v>
      </c>
      <c r="C9" s="69">
        <v>25000</v>
      </c>
      <c r="D9" s="68">
        <v>30000</v>
      </c>
      <c r="E9" s="68">
        <v>21791.03</v>
      </c>
      <c r="F9" s="68">
        <f t="shared" si="0"/>
        <v>-5000</v>
      </c>
      <c r="G9" s="68">
        <f t="shared" si="1"/>
        <v>3208.9700000000012</v>
      </c>
      <c r="H9" s="68">
        <f t="shared" si="2"/>
        <v>8208.9700000000012</v>
      </c>
      <c r="I9" s="72">
        <f t="shared" si="3"/>
        <v>0.41666666666666669</v>
      </c>
      <c r="J9" s="72">
        <f t="shared" si="4"/>
        <v>0.5</v>
      </c>
      <c r="K9" s="68">
        <f t="shared" si="5"/>
        <v>35000</v>
      </c>
    </row>
    <row r="10" spans="1:11" x14ac:dyDescent="0.25">
      <c r="A10" s="71" t="s">
        <v>97</v>
      </c>
      <c r="B10" s="68">
        <v>45000</v>
      </c>
      <c r="C10" s="69">
        <v>20000</v>
      </c>
      <c r="D10" s="68">
        <v>20000</v>
      </c>
      <c r="E10" s="68">
        <v>21792.03</v>
      </c>
      <c r="F10" s="68">
        <f t="shared" si="0"/>
        <v>0</v>
      </c>
      <c r="G10" s="68">
        <f t="shared" si="1"/>
        <v>-1792.0299999999988</v>
      </c>
      <c r="H10" s="68">
        <f t="shared" si="2"/>
        <v>-1792.0299999999988</v>
      </c>
      <c r="I10" s="72">
        <f t="shared" si="3"/>
        <v>0.44444444444444442</v>
      </c>
      <c r="J10" s="72">
        <f t="shared" si="4"/>
        <v>0.44444444444444442</v>
      </c>
      <c r="K10" s="68">
        <f t="shared" si="5"/>
        <v>25000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2026-08-17T19:25:03Z</dcterms:modified>
</cp:coreProperties>
</file>