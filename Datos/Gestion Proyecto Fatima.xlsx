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5243D580-9C8E-479F-B1D7-C2472AB9AB1F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calcPr calcId="181029"/>
</workbook>
</file>

<file path=xl/calcChain.xml><?xml version="1.0" encoding="utf-8"?>
<calcChain xmlns="http://schemas.openxmlformats.org/spreadsheetml/2006/main">
  <c r="D9" i="9" l="1"/>
  <c r="C9" i="9"/>
  <c r="B9" i="9"/>
  <c r="I9" i="9" s="1"/>
  <c r="E8" i="9"/>
  <c r="H8" i="9" s="1"/>
  <c r="F8" i="9"/>
  <c r="J8" i="9"/>
  <c r="E7" i="9"/>
  <c r="G7" i="9" s="1"/>
  <c r="F7" i="9"/>
  <c r="J7" i="9"/>
  <c r="E6" i="9"/>
  <c r="G6" i="9" s="1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8" i="9" l="1"/>
  <c r="H7" i="9"/>
  <c r="F9" i="9"/>
  <c r="K9" i="9"/>
  <c r="E9" i="9"/>
  <c r="G9" i="9" s="1"/>
  <c r="J9" i="9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9" i="9" l="1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<sst xmlns="http://schemas.openxmlformats.org/spreadsheetml/2006/main" count="762" uniqueCount="346">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</sst>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E12" sqref="E1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v>38605.82</v>
      </c>
      <c r="C2" s="69">
        <v>24077.24</v>
      </c>
      <c r="D2" s="68">
        <v>33775.15</v>
      </c>
      <c r="E2" s="68">
        <f t="shared" ref="E2:E8" si="0">D2-C2</f>
        <v>9697.91</v>
      </c>
      <c r="F2" s="68">
        <f t="shared" ref="F2:G4" si="1">B2-D2</f>
        <v>4830.6699999999983</v>
      </c>
      <c r="G2" s="68">
        <f t="shared" si="1"/>
        <v>14379.330000000002</v>
      </c>
      <c r="H2" s="68">
        <f t="shared" ref="H2:H8" si="2">E2</f>
        <v>9697.91</v>
      </c>
      <c r="I2" s="72">
        <f t="shared" ref="I2:I8" si="3">C2/B2</f>
        <v>0.62366865928505089</v>
      </c>
      <c r="J2" s="72">
        <f t="shared" ref="J2:J8" si="4">D2/B2</f>
        <v>0.87487197526176108</v>
      </c>
      <c r="K2" s="68">
        <f t="shared" ref="K2:K8" si="5">B2-C2</f>
        <v>14528.579999999998</v>
      </c>
    </row>
    <row r="3" spans="1:11" x14ac:dyDescent="0.25">
      <c r="A3" s="71" t="s">
        <v>336</v>
      </c>
      <c r="B3" s="68">
        <v>580</v>
      </c>
      <c r="C3" s="69">
        <v>315</v>
      </c>
      <c r="D3" s="68"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v>580</v>
      </c>
      <c r="C4" s="69">
        <v>315</v>
      </c>
      <c r="D4" s="68"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v>10524</v>
      </c>
      <c r="C5" s="69">
        <v>0</v>
      </c>
      <c r="D5" s="69"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339</v>
      </c>
      <c r="B6" s="68">
        <v>5525</v>
      </c>
      <c r="C6" s="69">
        <v>0</v>
      </c>
      <c r="D6" s="68"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v>1743.75</v>
      </c>
      <c r="C7" s="69">
        <v>0</v>
      </c>
      <c r="D7" s="68">
        <v>1743</v>
      </c>
      <c r="E7" s="68">
        <f t="shared" si="0"/>
        <v>1743</v>
      </c>
      <c r="F7" s="68">
        <f t="shared" si="6"/>
        <v>0.75</v>
      </c>
      <c r="G7" s="68">
        <f t="shared" si="7"/>
        <v>-1743</v>
      </c>
      <c r="H7" s="68">
        <f t="shared" si="2"/>
        <v>1743</v>
      </c>
      <c r="I7" s="72">
        <f t="shared" si="3"/>
        <v>0</v>
      </c>
      <c r="J7" s="72">
        <f t="shared" si="4"/>
        <v>0.99956989247311823</v>
      </c>
      <c r="K7" s="68">
        <f t="shared" si="5"/>
        <v>1743.75</v>
      </c>
    </row>
    <row r="8" spans="1:11" x14ac:dyDescent="0.25">
      <c r="A8" s="71" t="s">
        <v>341</v>
      </c>
      <c r="B8" s="68">
        <v>8484.7900000000009</v>
      </c>
      <c r="C8" s="69">
        <v>0</v>
      </c>
      <c r="D8" s="68"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24707.24</v>
      </c>
      <c r="D9" s="73">
        <f>SUM(D2:D8)</f>
        <v>53263.15</v>
      </c>
      <c r="E9" s="68">
        <f t="shared" ref="E9" si="8">D9-C9</f>
        <v>28555.91</v>
      </c>
      <c r="F9" s="68">
        <f t="shared" ref="F9" si="9">B9-D9</f>
        <v>12780.21</v>
      </c>
      <c r="G9" s="68">
        <f t="shared" ref="G9" si="10">C9-E9</f>
        <v>-3848.6699999999983</v>
      </c>
      <c r="H9" s="68">
        <f t="shared" ref="H9" si="11">E9</f>
        <v>28555.91</v>
      </c>
      <c r="I9" s="72">
        <f t="shared" ref="I9" si="12">C9/B9</f>
        <v>0.37410634468022225</v>
      </c>
      <c r="J9" s="72">
        <f t="shared" ref="J9" si="13">D9/B9</f>
        <v>0.80648758633721851</v>
      </c>
      <c r="K9" s="68">
        <f t="shared" ref="K9" si="14">B9-C9</f>
        <v>41336.119999999995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2026-09-07T18:46:01Z</dcterms:modified>
</cp:coreProperties>
</file>