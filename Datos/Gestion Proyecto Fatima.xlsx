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97DE3F41-492A-4C20-A167-E5967B63E9DA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D8" i="9" l="1"/>
  <c r="D7" i="9"/>
  <c r="F7" i="9" s="1"/>
  <c r="D6" i="9"/>
  <c r="D5" i="9"/>
  <c r="E5" i="9" s="1"/>
  <c r="G5" i="9" s="1"/>
  <c r="D4" i="9"/>
  <c r="D3" i="9"/>
  <c r="D2" i="9"/>
  <c r="C8" i="9"/>
  <c r="C7" i="9"/>
  <c r="C6" i="9"/>
  <c r="C5" i="9"/>
  <c r="C4" i="9"/>
  <c r="C3" i="9"/>
  <c r="C2" i="9"/>
  <c r="B8" i="9"/>
  <c r="B7" i="9"/>
  <c r="B6" i="9"/>
  <c r="B5" i="9"/>
  <c r="B4" i="9"/>
  <c r="F4" i="9" s="1"/>
  <c r="B3" i="9"/>
  <c r="B2" i="9"/>
  <c r="L5" i="3"/>
  <c r="L6" i="3"/>
  <c r="I5" i="3"/>
  <c r="I6" i="3"/>
  <c r="I8" i="9" l="1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H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7" i="9" l="1"/>
  <c r="E9" i="9"/>
  <c r="G9" i="9" s="1"/>
  <c r="G6" i="9"/>
  <c r="G4" i="9"/>
  <c r="G8" i="9"/>
  <c r="I9" i="9"/>
  <c r="J9" i="9"/>
  <c r="K9" i="9"/>
  <c r="F9" i="9"/>
  <c r="H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<sst xmlns="http://schemas.openxmlformats.org/spreadsheetml/2006/main" count="762" uniqueCount="346">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</sst>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esktop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Soporte de compras"/>
      <sheetName val="Configuracion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topLeftCell="B1" zoomScale="88" zoomScaleNormal="88" workbookViewId="0">
      <selection activeCell="C2" sqref="C2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24087.77</v>
      </c>
      <c r="D2" s="68">
        <f>[1]!Panel_Control[[#This Row],[Total Ingresos]]</f>
        <v>33775.15</v>
      </c>
      <c r="E2" s="68">
        <f t="shared" ref="E2:E8" si="0">D2-C2</f>
        <v>9687.380000000001</v>
      </c>
      <c r="F2" s="68">
        <f t="shared" ref="F2:G4" si="1">B2-D2</f>
        <v>4830.6699999999983</v>
      </c>
      <c r="G2" s="68">
        <f t="shared" si="1"/>
        <v>14400.39</v>
      </c>
      <c r="H2" s="68">
        <f t="shared" ref="H2:H8" si="2">E2</f>
        <v>9687.380000000001</v>
      </c>
      <c r="I2" s="72">
        <f t="shared" ref="I2:I8" si="3">C2/B2</f>
        <v>0.62394141608700449</v>
      </c>
      <c r="J2" s="72">
        <f t="shared" ref="J2:J8" si="4">D2/B2</f>
        <v>0.87487197526176108</v>
      </c>
      <c r="K2" s="68">
        <f t="shared" ref="K2:K8" si="5">B2-C2</f>
        <v>14518.05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0</v>
      </c>
      <c r="D5" s="69">
        <f>[1]!Panel_Control[[#This Row],[Total Ingresos]]</f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24717.77</v>
      </c>
      <c r="D9" s="73">
        <f>SUM(D2:D8)</f>
        <v>53263.9</v>
      </c>
      <c r="E9" s="68">
        <f t="shared" ref="E9" si="8">D9-C9</f>
        <v>28546.13</v>
      </c>
      <c r="F9" s="68">
        <f t="shared" ref="F9" si="9">B9-D9</f>
        <v>12779.46</v>
      </c>
      <c r="G9" s="68">
        <f t="shared" ref="G9" si="10">C9-E9</f>
        <v>-3828.3600000000006</v>
      </c>
      <c r="H9" s="68">
        <f t="shared" ref="H9" si="11">E9</f>
        <v>28546.13</v>
      </c>
      <c r="I9" s="72">
        <f t="shared" ref="I9" si="12">C9/B9</f>
        <v>0.37426578538705479</v>
      </c>
      <c r="J9" s="72">
        <f t="shared" ref="J9" si="13">D9/B9</f>
        <v>0.80649894251291876</v>
      </c>
      <c r="K9" s="68">
        <f t="shared" ref="K9" si="14">B9-C9</f>
        <v>41325.589999999997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2026-09-09T21:44:10Z</dcterms:modified>
</cp:coreProperties>
</file>