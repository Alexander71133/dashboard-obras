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FD469077-6112-484E-92EF-88FEE752A4C7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r:id="rId2"/>
    <sheet name="Presupuesto" sheetId="2" r:id="rId3"/>
    <sheet name="Compras_Materiales" sheetId="3" r:id="rId4"/>
    <sheet name="Pago_Obreros" sheetId="4" r:id="rId5"/>
    <sheet name="Pago nomina" sheetId="8" r:id="rId6"/>
    <sheet name="Hoja1" sheetId="7" r:id="rId7"/>
    <sheet name="Nomina" sheetId="5" r:id="rId8"/>
    <sheet name="Calculos" sheetId="6" r:id="rId9"/>
  </sheets>
  <calcPr calcId="181029"/>
</workbook>
</file>

<file path=xl/calcChain.xml><?xml version="1.0" encoding="utf-8"?>
<calcChain xmlns="http://schemas.openxmlformats.org/spreadsheetml/2006/main">
  <c r="E2" i="9" l="1"/>
  <c r="J2" i="9"/>
  <c r="B2" i="9"/>
  <c r="L5" i="3"/>
  <c r="L6" i="3"/>
  <c r="I5" i="3"/>
  <c r="I6" i="3"/>
  <c r="I2" i="9" l="1"/>
  <c r="F2" i="9"/>
  <c r="G2" i="9"/>
  <c r="H2" i="9"/>
  <c r="K2" i="9"/>
  <c r="L112" i="3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K83" i="3" l="1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s="1"/>
  <c r="C5" i="1" l="1"/>
  <c r="G5" i="1" s="1"/>
  <c r="C13" i="1"/>
  <c r="C18" i="1" s="1"/>
  <c r="E18" i="1" s="1"/>
  <c r="E17" i="1"/>
  <c r="D17" i="1"/>
  <c r="D18" i="1" l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</calcChain>
</file>

<file path=xl/sharedStrings.xml><?xml version="1.0" encoding="utf-8"?>
<sst xmlns="http://schemas.openxmlformats.org/spreadsheetml/2006/main" count="755" uniqueCount="339">
  <si>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</si>
  <si>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</si>
  <si>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</si>
  <si>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</si>
  <si>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</si>
  <si>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</si>
  <si>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</si>
  <si>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</si>
  <si>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</si>
  <si>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</si>
  <si>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</si>
  <si>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</si>
  <si>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</si>
  <si>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</si>
  <si>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</si>
  <si>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</si>
  <si>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</si>
  <si>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</si>
  <si>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</si>
  <si>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</si>
  <si>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</si>
  <si>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</si>
  <si>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</si>
  <si>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</si>
  <si>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</si>
  <si>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</si>
  <si>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</si>
  <si>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</si>
  <si>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</si>
  <si>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</si>
  <si>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</si>
  <si>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</si>
  <si>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</si>
  <si>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</si>
  <si>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</si>
  <si>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</si>
  <si>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</si>
  <si>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</si>
  <si>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</si>
  <si>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</si>
  <si>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</si>
  <si>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</si>
  <si>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</si>
  <si>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</si>
  <si>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</si>
  <si>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</si>
  <si>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</si>
  <si>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</si>
  <si>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</si>
  <si>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</si>
  <si>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</si>
  <si>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</si>
  <si>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</si>
  <si>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</si>
  <si>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</si>
  <si>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</si>
  <si>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</si>
  <si>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</si>
  <si>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</si>
  <si>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</si>
  <si>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</si>
  <si>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</si>
  <si>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</si>
  <si>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</si>
  <si>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</si>
  <si>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</si>
  <si>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</si>
  <si>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</si>
  <si>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</si>
  <si>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</si>
  <si>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</si>
  <si>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</si>
  <si>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</si>
  <si>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</si>
  <si>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</si>
  <si>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</si>
  <si>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</si>
  <si>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</si>
  <si>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</si>
  <si>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</si>
  <si>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</si>
  <si>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</si>
  <si>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</si>
  <si>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</si>
  <si>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</si>
  <si>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</si>
  <si>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</si>
  <si>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</si>
  <si>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</si>
  <si>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</si>
  <si>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</si>
  <si>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</si>
  <si>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</si>
  <si>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</si>
  <si>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</si>
  <si>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</si>
  <si>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</si>
  <si>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</si>
  <si>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</si>
  <si>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</si>
  <si>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</si>
  <si>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</si>
  <si>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</si>
  <si>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</si>
  <si>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</si>
  <si>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</si>
  <si>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</si>
  <si>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</si>
  <si>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</si>
  <si>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</si>
  <si>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</si>
  <si>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</si>
  <si>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</si>
  <si>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</si>
  <si>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</si>
  <si>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</si>
  <si>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</si>
  <si>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</si>
  <si>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</si>
  <si>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</si>
  <si>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</si>
  <si>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</si>
  <si>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</si>
  <si>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</si>
  <si>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</si>
  <si>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</si>
  <si>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</si>
  <si>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</si>
  <si>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</si>
  <si>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</si>
  <si>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</si>
  <si>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</si>
  <si>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</si>
  <si>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</si>
  <si>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</si>
  <si>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</si>
  <si>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</si>
  <si>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</si>
  <si>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</si>
  <si>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</si>
  <si>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</si>
  <si>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</si>
  <si>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</si>
  <si>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</si>
  <si>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</si>
  <si>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</si>
  <si>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</si>
  <si>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</si>
  <si>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</si>
  <si>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</si>
  <si>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</si>
  <si>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</si>
  <si>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</si>
  <si>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</si>
  <si>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</si>
  <si>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</si>
  <si>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</si>
  <si>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</si>
  <si>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</si>
  <si>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</si>
  <si>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</si>
  <si>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</si>
  <si>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</si>
  <si>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</si>
  <si>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</si>
  <si>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</si>
  <si>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</si>
  <si>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</si>
  <si>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</si>
  <si>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</si>
  <si>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</si>
  <si>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</si>
  <si>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</si>
  <si>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</si>
  <si>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</si>
  <si>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</si>
  <si>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</si>
  <si>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</si>
  <si>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</si>
  <si>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</si>
  <si>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</si>
  <si>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</si>
  <si>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</si>
  <si>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</si>
  <si>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</si>
  <si>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</si>
  <si>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</si>
  <si>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</si>
  <si>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</si>
  <si>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</si>
  <si>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</si>
  <si>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</si>
  <si>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</si>
  <si>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</si>
  <si>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</si>
  <si>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</si>
  <si>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</si>
  <si>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</si>
  <si>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</si>
  <si>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</si>
  <si>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</si>
  <si>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</si>
  <si>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</si>
  <si>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</si>
  <si>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</si>
  <si>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</si>
  <si>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</si>
  <si>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</si>
  <si>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</si>
  <si>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</si>
  <si>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</si>
  <si>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</si>
  <si>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</si>
  <si>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</si>
  <si>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</si>
  <si>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</si>
  <si>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</si>
  <si>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</si>
  <si>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</si>
  <si>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</si>
  <si>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</si>
  <si>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</si>
  <si>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</si>
  <si>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</si>
  <si>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</si>
  <si>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</si>
  <si>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</si>
  <si>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</si>
  <si>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</si>
  <si>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</si>
  <si>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</si>
  <si>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</si>
  <si>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</si>
  <si>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</si>
  <si>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</si>
  <si>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</si>
  <si>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</si>
  <si>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</si>
  <si>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</si>
  <si>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</si>
  <si>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</si>
  <si>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</si>
  <si>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</si>
  <si>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</si>
  <si>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</si>
  <si>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</si>
  <si>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</si>
  <si>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</si>
  <si>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</si>
  <si>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</si>
  <si>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</si>
  <si>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</si>
  <si>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</si>
  <si>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</si>
  <si>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</si>
  <si>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</si>
  <si>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</si>
  <si>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</si>
  <si>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</si>
  <si>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</si>
  <si>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</si>
  <si>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</si>
  <si>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</si>
  <si>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</si>
  <si>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</si>
  <si>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</si>
  <si>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</si>
  <si>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</si>
  <si>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</si>
  <si>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</si>
  <si>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</si>
  <si>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</si>
  <si>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</si>
  <si>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</si>
  <si>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</si>
  <si>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</si>
  <si>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</si>
  <si>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</si>
  <si>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</si>
  <si>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</si>
  <si>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</si>
  <si>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</si>
  <si>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</si>
  <si>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</si>
  <si>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</si>
  <si>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</si>
  <si>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</si>
  <si>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</si>
  <si>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</si>
  <si>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</si>
  <si>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</si>
  <si>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</si>
  <si>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</si>
  <si>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</si>
  <si>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</si>
  <si>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</si>
  <si>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</si>
  <si>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</si>
  <si>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</si>
  <si>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</si>
  <si>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</si>
  <si>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</si>
  <si>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</si>
  <si>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</si>
  <si>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</si>
  <si>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</si>
  <si>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</si>
  <si>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</si>
  <si>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</si>
  <si>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</si>
  <si>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</si>
  <si>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</si>
  <si>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</si>
  <si>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</si>
  <si>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</si>
  <si>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</si>
  <si>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</si>
  <si>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</si>
  <si>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</si>
  <si>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</si>
  <si>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</si>
  <si>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</si>
  <si>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</si>
  <si>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</si>
  <si>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</si>
  <si>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</si>
  <si>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</si>
  <si>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</si>
  <si>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Egresos Reales</t>
  </si>
  <si>
    <t>Por cobrar</t>
  </si>
  <si>
    <t>Utilidad Bruta</t>
  </si>
  <si>
    <t>Flujo de Caja</t>
  </si>
  <si>
    <t>% Avance Facturado</t>
  </si>
  <si>
    <t>% Avance Cobrado</t>
  </si>
  <si>
    <t>Cobrado Acumulado/Desembolsado</t>
  </si>
  <si>
    <t>Estimado Acumulado/Ejecutado</t>
  </si>
  <si>
    <t>Saldo por Ejecutar</t>
  </si>
  <si>
    <t>Obra</t>
  </si>
  <si>
    <t>Fatima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</si>
</sst>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79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K8"/>
  <sheetViews>
    <sheetView tabSelected="1" zoomScale="90" zoomScaleNormal="90" workbookViewId="0">
      <selection activeCell="D6" sqref="D6"/>
    </sheetView>
  </sheetViews>
  <sheetFormatPr baseColWidth="10" defaultRowHeight="15" x14ac:dyDescent="0.25"/>
  <cols>
    <col min="1" max="1" width="11.42578125" style="32"/>
    <col min="2" max="2" width="15" style="32" bestFit="1" customWidth="1"/>
    <col min="3" max="3" width="29.7109375" style="32" bestFit="1" customWidth="1"/>
    <col min="4" max="4" width="33.42578125" style="32" bestFit="1" customWidth="1"/>
    <col min="5" max="5" width="14" style="32" bestFit="1" customWidth="1"/>
    <col min="6" max="6" width="11.42578125" style="32"/>
    <col min="7" max="7" width="13.140625" style="32" bestFit="1" customWidth="1"/>
    <col min="8" max="8" width="12.28515625" style="32" bestFit="1" customWidth="1"/>
    <col min="9" max="9" width="18.7109375" style="32" bestFit="1" customWidth="1"/>
    <col min="10" max="10" width="17.140625" style="72" bestFit="1" customWidth="1"/>
    <col min="11" max="11" width="17" bestFit="1" customWidth="1"/>
  </cols>
  <sheetData>
    <row r="1" spans="1:11" x14ac:dyDescent="0.25">
      <c r="A1" s="32" t="s">
        <v>337</v>
      </c>
      <c r="B1" s="32" t="s">
        <v>327</v>
      </c>
      <c r="C1" s="32" t="s">
        <v>335</v>
      </c>
      <c r="D1" s="32" t="s">
        <v>334</v>
      </c>
      <c r="E1" s="32" t="s">
        <v>328</v>
      </c>
      <c r="F1" s="32" t="s">
        <v>329</v>
      </c>
      <c r="G1" s="32" t="s">
        <v>330</v>
      </c>
      <c r="H1" s="32" t="s">
        <v>331</v>
      </c>
      <c r="I1" s="32" t="s">
        <v>332</v>
      </c>
      <c r="J1" s="72" t="s">
        <v>333</v>
      </c>
      <c r="K1" s="32" t="s">
        <v>336</v>
      </c>
    </row>
    <row r="2" spans="1:11" x14ac:dyDescent="0.25">
      <c r="A2" s="71" t="s">
        <v>338</v>
      </c>
      <c r="B2" s="68">
        <f>Presupuesto!E11</f>
        <v>43821.59</v>
      </c>
      <c r="C2" s="69">
        <v>21795.360000000001</v>
      </c>
      <c r="D2" s="68">
        <v>33203.99</v>
      </c>
      <c r="E2" s="68">
        <f>C2</f>
        <v>21795.360000000001</v>
      </c>
      <c r="F2" s="68">
        <f>C2-D2</f>
        <v>-11408.629999999997</v>
      </c>
      <c r="G2" s="68">
        <f>C2-E2</f>
        <v>0</v>
      </c>
      <c r="H2" s="68">
        <f>D2-E2</f>
        <v>11408.629999999997</v>
      </c>
      <c r="I2" s="72">
        <f>C2/B2</f>
        <v>0.49736579617489923</v>
      </c>
      <c r="J2" s="72">
        <f>D2/B2</f>
        <v>0.75770847201117075</v>
      </c>
      <c r="K2" s="68">
        <f>B2-C2</f>
        <v>22026.229999999996</v>
      </c>
    </row>
    <row r="3" spans="1:11" x14ac:dyDescent="0.25">
      <c r="A3" s="71"/>
      <c r="B3" s="68"/>
      <c r="C3" s="69"/>
      <c r="D3" s="68"/>
      <c r="E3" s="68"/>
      <c r="F3" s="68"/>
      <c r="G3" s="68"/>
      <c r="H3" s="68"/>
      <c r="I3" s="72"/>
      <c r="K3" s="68"/>
    </row>
    <row r="4" spans="1:11" x14ac:dyDescent="0.25">
      <c r="A4" s="71"/>
      <c r="B4" s="68"/>
      <c r="C4" s="69"/>
      <c r="D4" s="68"/>
      <c r="E4" s="68"/>
      <c r="F4" s="68"/>
      <c r="G4" s="68"/>
      <c r="H4" s="68"/>
      <c r="I4" s="72"/>
      <c r="K4" s="68"/>
    </row>
    <row r="5" spans="1:11" x14ac:dyDescent="0.25">
      <c r="A5" s="71"/>
      <c r="B5" s="68"/>
      <c r="C5" s="69"/>
      <c r="D5" s="68"/>
      <c r="E5" s="68"/>
      <c r="F5" s="68"/>
      <c r="G5" s="68"/>
      <c r="H5" s="68"/>
      <c r="I5" s="72"/>
      <c r="K5" s="68"/>
    </row>
    <row r="6" spans="1:11" x14ac:dyDescent="0.25">
      <c r="A6" s="71"/>
      <c r="B6" s="68"/>
      <c r="C6" s="69"/>
      <c r="D6" s="68"/>
      <c r="E6" s="68"/>
      <c r="F6" s="68"/>
      <c r="G6" s="68"/>
      <c r="H6" s="68"/>
      <c r="I6" s="72"/>
      <c r="K6" s="68"/>
    </row>
    <row r="7" spans="1:11" x14ac:dyDescent="0.25">
      <c r="A7" s="71"/>
      <c r="B7" s="68"/>
      <c r="C7" s="69"/>
      <c r="D7" s="68"/>
      <c r="E7" s="68"/>
      <c r="F7" s="68"/>
      <c r="G7" s="68"/>
      <c r="H7" s="68"/>
      <c r="I7" s="72"/>
      <c r="K7" s="68"/>
    </row>
    <row r="8" spans="1:11" x14ac:dyDescent="0.25">
      <c r="A8" s="71"/>
      <c r="B8" s="68"/>
      <c r="C8" s="69"/>
      <c r="D8" s="68"/>
      <c r="E8" s="68"/>
      <c r="F8" s="68"/>
      <c r="G8" s="68"/>
      <c r="H8" s="68"/>
      <c r="I8" s="72"/>
      <c r="K8" s="6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3" sqref="B23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7" t="s">
        <v>132</v>
      </c>
      <c r="B1" s="78"/>
      <c r="C1" s="78"/>
      <c r="D1" s="78"/>
      <c r="E1" s="78"/>
      <c r="F1" s="78"/>
      <c r="G1" s="78"/>
      <c r="H1" s="78"/>
      <c r="I1" s="78"/>
    </row>
    <row r="2" spans="1:9" x14ac:dyDescent="0.25">
      <c r="A2" s="78"/>
      <c r="B2" s="78"/>
      <c r="C2" s="78"/>
      <c r="D2" s="78"/>
      <c r="E2" s="78"/>
      <c r="F2" s="78"/>
      <c r="G2" s="78"/>
      <c r="H2" s="78"/>
      <c r="I2" s="78"/>
    </row>
    <row r="4" spans="1:9" x14ac:dyDescent="0.25">
      <c r="A4" s="73" t="s">
        <v>0</v>
      </c>
      <c r="B4" s="74"/>
      <c r="C4" s="73" t="s">
        <v>1</v>
      </c>
      <c r="D4" s="74"/>
      <c r="E4" s="73" t="s">
        <v>2</v>
      </c>
      <c r="F4" s="74"/>
      <c r="G4" s="73" t="s">
        <v>3</v>
      </c>
      <c r="H4" s="74"/>
    </row>
    <row r="5" spans="1:9" x14ac:dyDescent="0.25">
      <c r="A5" s="75">
        <f>Presupuesto!E11</f>
        <v>43821.59</v>
      </c>
      <c r="B5" s="74"/>
      <c r="C5" s="75">
        <f>Compras_Materiales!L120+Pago_Obreros!M47</f>
        <v>21784.026381865144</v>
      </c>
      <c r="D5" s="74"/>
      <c r="E5" s="75">
        <f>A5-C5</f>
        <v>22037.563618134853</v>
      </c>
      <c r="F5" s="74"/>
      <c r="G5" s="76">
        <f>C5/A5</f>
        <v>0.49710716525496096</v>
      </c>
      <c r="H5" s="74"/>
    </row>
    <row r="6" spans="1:9" x14ac:dyDescent="0.25">
      <c r="A6" s="74"/>
      <c r="B6" s="74"/>
      <c r="C6" s="74"/>
      <c r="D6" s="74"/>
      <c r="E6" s="74"/>
      <c r="F6" s="74"/>
      <c r="G6" s="74"/>
      <c r="H6" s="74"/>
    </row>
    <row r="7" spans="1:9" x14ac:dyDescent="0.25">
      <c r="A7" s="73" t="s">
        <v>153</v>
      </c>
      <c r="B7" s="74"/>
      <c r="C7" s="73" t="s">
        <v>1</v>
      </c>
      <c r="D7" s="74"/>
      <c r="E7" s="73" t="s">
        <v>2</v>
      </c>
      <c r="F7" s="74"/>
      <c r="G7" s="73" t="s">
        <v>3</v>
      </c>
      <c r="H7" s="74"/>
    </row>
    <row r="8" spans="1:9" ht="15" customHeight="1" x14ac:dyDescent="0.25">
      <c r="A8" s="75">
        <f>B23</f>
        <v>33203.99</v>
      </c>
      <c r="B8" s="74"/>
      <c r="C8" s="75">
        <f>C14</f>
        <v>21784.026381865144</v>
      </c>
      <c r="D8" s="74"/>
      <c r="E8" s="75">
        <f>A8-C8</f>
        <v>11419.963618134854</v>
      </c>
      <c r="F8" s="74"/>
      <c r="G8" s="76">
        <f>C8/A8</f>
        <v>0.65606652639833785</v>
      </c>
      <c r="H8" s="74"/>
    </row>
    <row r="9" spans="1:9" x14ac:dyDescent="0.25">
      <c r="A9" s="74"/>
      <c r="B9" s="74"/>
      <c r="C9" s="74"/>
      <c r="D9" s="74"/>
      <c r="E9" s="74"/>
      <c r="F9" s="74"/>
      <c r="G9" s="74"/>
      <c r="H9" s="74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4:B4"/>
    <mergeCell ref="G4:H4"/>
    <mergeCell ref="E4:F4"/>
    <mergeCell ref="C5:D6"/>
    <mergeCell ref="A1:I2"/>
    <mergeCell ref="A5:B6"/>
    <mergeCell ref="E5:F6"/>
    <mergeCell ref="G5:H6"/>
    <mergeCell ref="C4:D4"/>
    <mergeCell ref="A7:B7"/>
    <mergeCell ref="C7:D7"/>
    <mergeCell ref="E7:F7"/>
    <mergeCell ref="G7:H7"/>
    <mergeCell ref="A8:B9"/>
    <mergeCell ref="C8:D9"/>
    <mergeCell ref="E8:F9"/>
    <mergeCell ref="G8:H9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7" t="s">
        <v>12</v>
      </c>
      <c r="B1" s="78"/>
      <c r="C1" s="78"/>
      <c r="D1" s="78"/>
      <c r="E1" s="78"/>
    </row>
    <row r="2" spans="1:5" x14ac:dyDescent="0.25">
      <c r="A2" s="78"/>
      <c r="B2" s="78"/>
      <c r="C2" s="78"/>
      <c r="D2" s="78"/>
      <c r="E2" s="78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7" t="s">
        <v>25</v>
      </c>
      <c r="B1" s="78"/>
      <c r="C1" s="78"/>
      <c r="D1" s="78"/>
      <c r="E1" s="78"/>
      <c r="F1" s="78"/>
      <c r="G1" s="78"/>
      <c r="H1" s="78"/>
      <c r="I1" s="78"/>
      <c r="J1" s="78"/>
      <c r="K1" s="78"/>
    </row>
    <row r="2" spans="1:13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7" t="s">
        <v>57</v>
      </c>
      <c r="B1" s="77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</row>
    <row r="2" spans="1:14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2026-08-18T16:31:59Z</dcterms:modified>
</cp:coreProperties>
</file>